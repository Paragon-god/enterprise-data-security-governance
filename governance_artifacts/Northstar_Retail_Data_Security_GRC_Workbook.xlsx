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4a9320515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27a3ff3f5fb0461f"/>
    <x:sheet xmlns:r="http://schemas.openxmlformats.org/officeDocument/2006/relationships" name="Dashboard" sheetId="2" r:id="R6382e5c9d363455e"/>
    <x:sheet xmlns:r="http://schemas.openxmlformats.org/officeDocument/2006/relationships" name="Project Overview" sheetId="3" r:id="R7d30f2e9da6349fe"/>
    <x:sheet xmlns:r="http://schemas.openxmlformats.org/officeDocument/2006/relationships" name="Data Inventory" sheetId="4" r:id="R5aa5f32f27c846a4"/>
    <x:sheet xmlns:r="http://schemas.openxmlformats.org/officeDocument/2006/relationships" name="Evidence Inventory" sheetId="5" r:id="R86893419ea344081"/>
    <x:sheet xmlns:r="http://schemas.openxmlformats.org/officeDocument/2006/relationships" name="Risk Register" sheetId="6" r:id="R3a397e6eba404752"/>
    <x:sheet xmlns:r="http://schemas.openxmlformats.org/officeDocument/2006/relationships" name="Treatment Plan" sheetId="7" r:id="Rba1e0cb917b045a2"/>
    <x:sheet xmlns:r="http://schemas.openxmlformats.org/officeDocument/2006/relationships" name="Control Catalogue" sheetId="8" r:id="R3616a60e93be41b1"/>
    <x:sheet xmlns:r="http://schemas.openxmlformats.org/officeDocument/2006/relationships" name="Access Matrix" sheetId="9" r:id="Rb41bb6d5b4884a8d"/>
    <x:sheet xmlns:r="http://schemas.openxmlformats.org/officeDocument/2006/relationships" name="Retention Schedule" sheetId="10" r:id="R88c0fc15cb424763"/>
    <x:sheet xmlns:r="http://schemas.openxmlformats.org/officeDocument/2006/relationships" name="Privacy Assessment" sheetId="11" r:id="Rded4cdfb30154f47"/>
    <x:sheet xmlns:r="http://schemas.openxmlformats.org/officeDocument/2006/relationships" name="RACI" sheetId="12" r:id="Rb203ca25ad244d83"/>
    <x:sheet xmlns:r="http://schemas.openxmlformats.org/officeDocument/2006/relationships" name="Control Evidence Matrix" sheetId="13" r:id="R2ae74ac51aee4445"/>
    <x:sheet xmlns:r="http://schemas.openxmlformats.org/officeDocument/2006/relationships" name="Technical Evidence Register" sheetId="14" r:id="R0bcd59f276a34dc8"/>
    <x:sheet xmlns:r="http://schemas.openxmlformats.org/officeDocument/2006/relationships" name="Model Risk Governance" sheetId="15" r:id="R5f2c48448d0148fe"/>
    <x:sheet xmlns:r="http://schemas.openxmlformats.org/officeDocument/2006/relationships" name="Management Recommendations" sheetId="16" r:id="R13ea0e38f07240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54823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14">
    <x:border/>
    <x:border/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horizontal="center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horizontal="center"/>
    </x:xf>
    <x:xf numFmtId="0" fontId="3" fillId="3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3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/>
    </x:xf>
    <x:xf numFmtId="0" fontId="3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3" fillId="3" borderId="1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2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7365D"/>
      </x:font>
      <x:fill>
        <x:patternFill>
          <x:bgColor rgb="FFD9EA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6ed61b2144356" /><Relationship Type="http://schemas.openxmlformats.org/officeDocument/2006/relationships/theme" Target="/xl/theme/theme1.xml" Id="Ra6725513324e42ac" /><Relationship Type="http://schemas.openxmlformats.org/officeDocument/2006/relationships/sharedStrings" Target="/xl/sharedStrings.xml" Id="Rb28ee18c84974edb" /><Relationship Type="http://schemas.openxmlformats.org/officeDocument/2006/relationships/worksheet" Target="/xl/worksheets/sheet1.xml" Id="R27a3ff3f5fb0461f" /><Relationship Type="http://schemas.openxmlformats.org/officeDocument/2006/relationships/worksheet" Target="/xl/worksheets/sheet2.xml" Id="R6382e5c9d363455e" /><Relationship Type="http://schemas.openxmlformats.org/officeDocument/2006/relationships/worksheet" Target="/xl/worksheets/sheet3.xml" Id="R7d30f2e9da6349fe" /><Relationship Type="http://schemas.openxmlformats.org/officeDocument/2006/relationships/worksheet" Target="/xl/worksheets/sheet4.xml" Id="R5aa5f32f27c846a4" /><Relationship Type="http://schemas.openxmlformats.org/officeDocument/2006/relationships/worksheet" Target="/xl/worksheets/sheet5.xml" Id="R86893419ea344081" /><Relationship Type="http://schemas.openxmlformats.org/officeDocument/2006/relationships/worksheet" Target="/xl/worksheets/sheet6.xml" Id="R3a397e6eba404752" /><Relationship Type="http://schemas.openxmlformats.org/officeDocument/2006/relationships/worksheet" Target="/xl/worksheets/sheet7.xml" Id="Rba1e0cb917b045a2" /><Relationship Type="http://schemas.openxmlformats.org/officeDocument/2006/relationships/worksheet" Target="/xl/worksheets/sheet8.xml" Id="R3616a60e93be41b1" /><Relationship Type="http://schemas.openxmlformats.org/officeDocument/2006/relationships/worksheet" Target="/xl/worksheets/sheet9.xml" Id="Rb41bb6d5b4884a8d" /><Relationship Type="http://schemas.openxmlformats.org/officeDocument/2006/relationships/worksheet" Target="/xl/worksheets/sheet10.xml" Id="R88c0fc15cb424763" /><Relationship Type="http://schemas.openxmlformats.org/officeDocument/2006/relationships/worksheet" Target="/xl/worksheets/sheet11.xml" Id="Rded4cdfb30154f47" /><Relationship Type="http://schemas.openxmlformats.org/officeDocument/2006/relationships/worksheet" Target="/xl/worksheets/sheet12.xml" Id="Rb203ca25ad244d83" /><Relationship Type="http://schemas.openxmlformats.org/officeDocument/2006/relationships/worksheet" Target="/xl/worksheets/sheet13.xml" Id="R2ae74ac51aee4445" /><Relationship Type="http://schemas.openxmlformats.org/officeDocument/2006/relationships/worksheet" Target="/xl/worksheets/sheet14.xml" Id="R0bcd59f276a34dc8" /><Relationship Type="http://schemas.openxmlformats.org/officeDocument/2006/relationships/worksheet" Target="/xl/worksheets/sheet15.xml" Id="R5f2c48448d0148fe" /><Relationship Type="http://schemas.openxmlformats.org/officeDocument/2006/relationships/worksheet" Target="/xl/worksheets/sheet16.xml" Id="R13ea0e38f07240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42a062ca4c4b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vs Residual Risk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Inherent Score</c:v>
          </c:tx>
          <c:cat>
            <c:strRef>
              <c:f>'Risk Register'!$A$2:$A$13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'Risk Register'!$J$2:$J$13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Residual Score</c:v>
          </c:tx>
          <c:cat>
            <c:strRef>
              <c:f>'Risk Register'!$A$2:$A$13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'Risk Register'!$P$2:$P$13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42a062ca4c4b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InventoryTable" displayName="DataInventoryTable" ref="A1:O12" headerRowCount="1">
  <x:tableColumns count="15">
    <x:tableColumn id="1" name="Asset ID"/>
    <x:tableColumn id="2" name="Data Asset"/>
    <x:tableColumn id="3" name="Description"/>
    <x:tableColumn id="4" name="Source / System"/>
    <x:tableColumn id="5" name="Format"/>
    <x:tableColumn id="6" name="Data Owner"/>
    <x:tableColumn id="7" name="Data Steward"/>
    <x:tableColumn id="8" name="Classification"/>
    <x:tableColumn id="9" name="Personal Data"/>
    <x:tableColumn id="10" name="Criticality"/>
    <x:tableColumn id="11" name="Business Purpose"/>
    <x:tableColumn id="12" name="Primary Storage"/>
    <x:tableColumn id="13" name="Illustrative Retention"/>
    <x:tableColumn id="14" name="Privacy / Compliance Notes"/>
    <x:tableColumn id="15" name="Key Risk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InventoryTable" displayName="EvidenceInventoryTable" ref="A1:H19" headerRowCount="1">
  <x:tableColumns count="8">
    <x:tableColumn id="1" name="Evidence ID"/>
    <x:tableColumn id="2" name="Original Evidence"/>
    <x:tableColumn id="3" name="Purpose"/>
    <x:tableColumn id="4" name="Public Decision"/>
    <x:tableColumn id="5" name="Required Sanitisation"/>
    <x:tableColumn id="6" name="Portfolio Filename"/>
    <x:tableColumn id="7" name="Phase 3 Action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iskRegisterTable" displayName="RiskRegisterTable" ref="A1:R13" headerRowCount="1">
  <x:tableColumns count="18">
    <x:tableColumn id="1" name="Risk ID"/>
    <x:tableColumn id="2" name="Risk Statement"/>
    <x:tableColumn id="3" name="Primary Asset"/>
    <x:tableColumn id="4" name="Category"/>
    <x:tableColumn id="5" name="Threat / Event"/>
    <x:tableColumn id="6" name="Vulnerability"/>
    <x:tableColumn id="7" name="Existing Controls"/>
    <x:tableColumn id="8" name="Likelihood"/>
    <x:tableColumn id="9" name="Impact"/>
    <x:tableColumn id="10" name="Inherent Score"/>
    <x:tableColumn id="11" name="Inherent Rating"/>
    <x:tableColumn id="12" name="Treatment"/>
    <x:tableColumn id="13" name="Control Owner"/>
    <x:tableColumn id="14" name="Residual Likelihood"/>
    <x:tableColumn id="15" name="Residual Impact"/>
    <x:tableColumn id="16" name="Residual Score"/>
    <x:tableColumn id="17" name="Residual Rating"/>
    <x:tableColumn id="1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reatmentPlanTable" displayName="TreatmentPlanTable" ref="A1:J13" headerRowCount="1">
  <x:tableColumns count="10">
    <x:tableColumn id="1" name="Action ID"/>
    <x:tableColumn id="2" name="Risk ID"/>
    <x:tableColumn id="3" name="Priority"/>
    <x:tableColumn id="4" name="Treatment Action"/>
    <x:tableColumn id="5" name="Deliverable / Evidence"/>
    <x:tableColumn id="6" name="Owner"/>
    <x:tableColumn id="7" name="Target Horizon"/>
    <x:tableColumn id="8" name="Success Measure"/>
    <x:tableColumn id="9" name="Dependency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ControlCatalogueTable" displayName="ControlCatalogueTable" ref="A1:I21" headerRowCount="1">
  <x:tableColumns count="9">
    <x:tableColumn id="1" name="Control ID"/>
    <x:tableColumn id="2" name="Domain"/>
    <x:tableColumn id="3" name="Control Objective"/>
    <x:tableColumn id="4" name="Control Description"/>
    <x:tableColumn id="5" name="Implementation Status"/>
    <x:tableColumn id="6" name="Technical / Governance Evidence"/>
    <x:tableColumn id="7" name="Owner"/>
    <x:tableColumn id="8" name="Frequency"/>
    <x:tableColumn id="9" name="Test Method"/>
  </x:tableColumns>
  <x:tableStyleInfo name="TableStyleMedium2" showRowStripes="1"/>
</x:table>
</file>

<file path=xl/tables/table6.xml><?xml version="1.0" encoding="utf-8"?>
<x:table xmlns:x="http://schemas.openxmlformats.org/spreadsheetml/2006/main" id="6" name="RetentionScheduleTable" displayName="RetentionScheduleTable" ref="A1:J12" headerRowCount="1">
  <x:tableColumns count="10">
    <x:tableColumn id="1" name="Asset ID"/>
    <x:tableColumn id="2" name="Data Asset"/>
    <x:tableColumn id="3" name="Retention Period"/>
    <x:tableColumn id="4" name="Retention Trigger"/>
    <x:tableColumn id="5" name="Archive Requirement"/>
    <x:tableColumn id="6" name="Secure Disposal Method"/>
    <x:tableColumn id="7" name="Owner"/>
    <x:tableColumn id="8" name="Approval / Review"/>
    <x:tableColumn id="9" name="Exception Handling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ivacyAssessmentTable" displayName="PrivacyAssessmentTable" ref="A1:I8" headerRowCount="1">
  <x:tableColumns count="9">
    <x:tableColumn id="1" name="Processing Activity"/>
    <x:tableColumn id="2" name="Data Categories"/>
    <x:tableColumn id="3" name="Purpose"/>
    <x:tableColumn id="4" name="Necessity / Proportionality"/>
    <x:tableColumn id="5" name="Key Privacy Risk"/>
    <x:tableColumn id="6" name="Current Safeguards"/>
    <x:tableColumn id="7" name="Residual Risk"/>
    <x:tableColumn id="8" name="Required Action"/>
    <x:tableColumn id="9" name="Owner"/>
  </x:tableColumns>
  <x:tableStyleInfo name="TableStyleMedium2" showRowStripes="1"/>
</x:table>
</file>

<file path=xl/tables/table8.xml><?xml version="1.0" encoding="utf-8"?>
<x:table xmlns:x="http://schemas.openxmlformats.org/spreadsheetml/2006/main" id="8" name="RACITable" displayName="RACITable" ref="A1:J13" headerRowCount="1">
  <x:tableColumns count="10">
    <x:tableColumn id="1" name="Governance Activity"/>
    <x:tableColumn id="2" name="Data Owner"/>
    <x:tableColumn id="3" name="Data Engineer"/>
    <x:tableColumn id="4" name="Data Analyst"/>
    <x:tableColumn id="5" name="DBA / Platform Admin"/>
    <x:tableColumn id="6" name="GRC / Security"/>
    <x:tableColumn id="7" name="Privacy Officer"/>
    <x:tableColumn id="8" name="Model Owner"/>
    <x:tableColumn id="9" name="Business Manager"/>
    <x:tableColumn id="10" name="Internal Auditor"/>
  </x:tableColumns>
  <x:tableStyleInfo name="TableStyleMedium2" showRowStripes="1"/>
</x:table>
</file>

<file path=xl/tables/table9.xml><?xml version="1.0" encoding="utf-8"?>
<x:table xmlns:x="http://schemas.openxmlformats.org/spreadsheetml/2006/main" id="9" name="ControlEvidenceMatrixTable" displayName="ControlEvidenceMatrixTable" ref="A1:J21" headerRowCount="1">
  <x:tableColumns count="10">
    <x:tableColumn id="1" name="Mapping ID"/>
    <x:tableColumn id="2" name="Control ID"/>
    <x:tableColumn id="3" name="Control Objective"/>
    <x:tableColumn id="4" name="Evidence ID / Artefact"/>
    <x:tableColumn id="5" name="Evidence Type"/>
    <x:tableColumn id="6" name="What the Evidence Demonstrates"/>
    <x:tableColumn id="7" name="Implementation Conclusion"/>
    <x:tableColumn id="8" name="Evidence Strength"/>
    <x:tableColumn id="9" name="Residual Gap"/>
    <x:tableColumn id="10" name="Public Portfolio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TechnicalEvidenceRegisterTable" displayName="TechnicalEvidenceRegisterTable" ref="A1:H13" headerRowCount="1">
  <x:tableColumns count="8">
    <x:tableColumn id="1" name="Evidence ID"/>
    <x:tableColumn id="2" name="Title"/>
    <x:tableColumn id="3" name="Sanitised Filename"/>
    <x:tableColumn id="4" name="Control Links"/>
    <x:tableColumn id="5" name="Risk Links"/>
    <x:tableColumn id="6" name="Evidence Result"/>
    <x:tableColumn id="7" name="Sanitisation Applied"/>
    <x:tableColumn id="8" name="Public Status"/>
  </x:tableColumns>
  <x:tableStyleInfo name="TableStyleMedium2" showRowStripes="1"/>
</x:table>
</file>

<file path=xl/tables/table11.xml><?xml version="1.0" encoding="utf-8"?>
<x:table xmlns:x="http://schemas.openxmlformats.org/spreadsheetml/2006/main" id="11" name="ManagementRecommendationsTable" displayName="ManagementRecommendationsTable" ref="A1:G11" headerRowCount="1">
  <x:tableColumns count="7">
    <x:tableColumn id="1" name="Recommendation ID"/>
    <x:tableColumn id="2" name="Priority"/>
    <x:tableColumn id="3" name="Recommendation"/>
    <x:tableColumn id="4" name="Business Rationale"/>
    <x:tableColumn id="5" name="Primary Owner"/>
    <x:tableColumn id="6" name="Target Horizon"/>
    <x:tableColumn id="7" name="Outcome Meas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f724f84025344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ceddc67933a4b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8f3ef0f744344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fe7269905ad48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ee0470a9386242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0014ffc680c045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86bee9b89c4d4c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98b1cc150d1540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bc4d47e920de4b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7a8aadfe103e4e0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41c19abbc4e54c8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0653b11f1fb2454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6" t="str">
        <x:v>Risk Score</x:v>
      </x:c>
      <x:c r="B1" s="6" t="str">
        <x:v>Likelihood/Impact</x:v>
      </x:c>
      <x:c r="C1" s="6" t="str">
        <x:v>Treatment</x:v>
      </x:c>
      <x:c r="D1" s="6" t="str">
        <x:v>Status</x:v>
      </x:c>
      <x:c r="E1" s="6" t="str">
        <x:v>Classification</x:v>
      </x:c>
      <x:c r="F1" s="6" t="str">
        <x:v>Criticality</x:v>
      </x:c>
      <x:c r="G1" s="6" t="str">
        <x:v>Control Status</x:v>
      </x:c>
    </x:row>
    <x:row r="2">
      <x:c r="A2" s="56" t="str">
        <x:v>Low</x:v>
      </x:c>
      <x:c r="B2" t="n">
        <x:v>1</x:v>
      </x:c>
      <x:c r="C2" t="str">
        <x:v>Mitigate</x:v>
      </x:c>
      <x:c r="D2" t="str">
        <x:v>Open</x:v>
      </x:c>
      <x:c r="E2" t="str">
        <x:v>Public</x:v>
      </x:c>
      <x:c r="F2" t="str">
        <x:v>Low</x:v>
      </x:c>
      <x:c r="G2" t="str">
        <x:v>Implemented</x:v>
      </x:c>
    </x:row>
    <x:row r="3">
      <x:c r="A3" s="56" t="str">
        <x:v>Medium</x:v>
      </x:c>
      <x:c r="B3" t="n">
        <x:v>2</x:v>
      </x:c>
      <x:c r="C3" t="str">
        <x:v>Avoid</x:v>
      </x:c>
      <x:c r="D3" t="str">
        <x:v>In Progress</x:v>
      </x:c>
      <x:c r="E3" t="str">
        <x:v>Internal</x:v>
      </x:c>
      <x:c r="F3" t="str">
        <x:v>Medium</x:v>
      </x:c>
      <x:c r="G3" t="str">
        <x:v>Partially Implemented</x:v>
      </x:c>
    </x:row>
    <x:row r="4">
      <x:c r="A4" s="56" t="str">
        <x:v>High</x:v>
      </x:c>
      <x:c r="B4" t="n">
        <x:v>3</x:v>
      </x:c>
      <x:c r="C4" t="str">
        <x:v>Transfer</x:v>
      </x:c>
      <x:c r="D4" t="str">
        <x:v>Implemented</x:v>
      </x:c>
      <x:c r="E4" t="str">
        <x:v>Confidential</x:v>
      </x:c>
      <x:c r="F4" t="str">
        <x:v>High</x:v>
      </x:c>
      <x:c r="G4" t="str">
        <x:v>Recommended</x:v>
      </x:c>
    </x:row>
    <x:row r="5">
      <x:c r="A5" s="56" t="str">
        <x:v>Critical</x:v>
      </x:c>
      <x:c r="B5" t="n">
        <x:v>4</x:v>
      </x:c>
      <x:c r="C5" t="str">
        <x:v>Accept</x:v>
      </x:c>
      <x:c r="D5" t="str">
        <x:v>Monitoring</x:v>
      </x:c>
      <x:c r="E5" t="str">
        <x:v>Restricted</x:v>
      </x:c>
      <x:c r="F5" t="str">
        <x:v>Critical</x:v>
      </x:c>
      <x:c r="G5" t="str">
        <x:v>Not Applicable</x:v>
      </x:c>
    </x:row>
    <x:row r="6">
      <x:c r="A6" s="56"/>
      <x:c r="B6" t="n">
        <x:v>5</x:v>
      </x:c>
      <x:c r="D6" t="str">
        <x:v>Accepted</x:v>
      </x:c>
    </x:row>
    <x:row r="7">
      <x:c r="A7" s="56"/>
      <x:c r="D7" t="str">
        <x:v>Closed</x:v>
      </x:c>
    </x:row>
    <x:row r="8">
      <x:c r="A8" s="56"/>
    </x:row>
    <x:row r="9">
      <x:c r="A9" s="56"/>
    </x:row>
    <x:row r="10">
      <x:c r="A10" s="56"/>
    </x:row>
    <x:row r="11">
      <x:c r="A11" s="56"/>
    </x:row>
    <x:row r="12">
      <x:c r="A12" s="56"/>
    </x:row>
    <x:row r="13">
      <x:c r="A13" s="56"/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54" t="str">
        <x:v>Enterprise Data Security Governance Implementation</x:v>
      </x:c>
      <x:c r="B1" s="14"/>
      <x:c r="C1" s="14"/>
      <x:c r="D1" s="14"/>
      <x:c r="E1" s="14"/>
      <x:c r="F1" s="14"/>
      <x:c r="G1" s="14"/>
      <x:c r="H1" s="14"/>
    </x:row>
    <x:row r="2">
      <x:c r="A2" s="54"/>
      <x:c r="B2" s="14"/>
      <x:c r="C2" s="14"/>
      <x:c r="D2" s="14"/>
      <x:c r="E2" s="14"/>
      <x:c r="F2" s="14"/>
      <x:c r="G2" s="14"/>
      <x:c r="H2" s="14"/>
    </x:row>
    <x:row r="3">
      <x:c r="A3" s="55" t="str">
        <x:v>Simulated organisation: Northstar Retail Group | Portfolio prototype</x:v>
      </x:c>
      <x:c r="B3" s="20"/>
      <x:c r="C3" s="20"/>
      <x:c r="D3" s="20"/>
      <x:c r="E3" s="20"/>
      <x:c r="F3" s="20"/>
      <x:c r="G3" s="20"/>
      <x:c r="H3" s="20"/>
    </x:row>
    <x:row r="4">
      <x:c r="A4" s="56"/>
    </x:row>
    <x:row r="5">
      <x:c r="A5" s="57" t="str">
        <x:v>KPI</x:v>
      </x:c>
      <x:c r="B5" s="35" t="str">
        <x:v>Value</x:v>
      </x:c>
      <x:c r="D5" s="6" t="str">
        <x:v>Day 2 Completion Summary</x:v>
      </x:c>
      <x:c r="E5" s="6"/>
      <x:c r="F5" s="6"/>
      <x:c r="G5" s="6"/>
      <x:c r="H5" s="6"/>
    </x:row>
    <x:row r="6">
      <x:c r="A6" s="58" t="str">
        <x:v>Data assets inventoried</x:v>
      </x:c>
      <x:c r="B6" s="37" t="n">
        <x:f>COUNTA('Data Inventory'!A2:A50)</x:f>
        <x:v>11</x:v>
      </x:c>
      <x:c r="D6" s="73" t="str">
        <x:v>Phase 1</x:v>
      </x:c>
      <x:c r="E6" s="46" t="str">
        <x:v>Portfolio reframing and sanitisation</x:v>
      </x:c>
      <x:c r="F6" s="80" t="str">
        <x:v>Complete</x:v>
      </x:c>
    </x:row>
    <x:row r="7">
      <x:c r="A7" s="58" t="str">
        <x:v>Restricted assets</x:v>
      </x:c>
      <x:c r="B7" s="37" t="n">
        <x:f>COUNTIF('Data Inventory'!H2:H50,"Restricted")</x:f>
        <x:v>1</x:v>
      </x:c>
      <x:c r="D7" s="73" t="str">
        <x:v>Phase 2</x:v>
      </x:c>
      <x:c r="E7" s="46" t="str">
        <x:v>Governance and risk foundation</x:v>
      </x:c>
      <x:c r="F7" s="80" t="str">
        <x:v>Complete</x:v>
      </x:c>
    </x:row>
    <x:row r="8">
      <x:c r="A8" s="58" t="str">
        <x:v>Risks assessed</x:v>
      </x:c>
      <x:c r="B8" s="37" t="n">
        <x:f>COUNTA('Risk Register'!A2:A50)</x:f>
        <x:v>12</x:v>
      </x:c>
      <x:c r="D8" s="73" t="str">
        <x:v>Phase 3</x:v>
      </x:c>
      <x:c r="E8" s="46" t="str">
        <x:v>Technical control mapping and evidence</x:v>
      </x:c>
      <x:c r="F8" s="80" t="str">
        <x:v>Complete</x:v>
      </x:c>
    </x:row>
    <x:row r="9">
      <x:c r="A9" s="58" t="str">
        <x:v>High/Critical inherent risks</x:v>
      </x:c>
      <x:c r="B9" s="37" t="n">
        <x:f>COUNTIF('Risk Register'!K2:K50,"High")+COUNTIF('Risk Register'!K2:K50,"Critical")</x:f>
        <x:v>12</x:v>
      </x:c>
      <x:c r="D9" s="73" t="str">
        <x:v>Phase 4</x:v>
      </x:c>
      <x:c r="E9" s="46" t="str">
        <x:v>Professional case study and visual assets</x:v>
      </x:c>
      <x:c r="F9" s="80" t="str">
        <x:v>Complete</x:v>
      </x:c>
    </x:row>
    <x:row r="10">
      <x:c r="A10" s="58" t="str">
        <x:v>Implemented/partial controls</x:v>
      </x:c>
      <x:c r="B10" s="37" t="n">
        <x:f>COUNTIF('Control Catalogue'!E2:E100,"Implemented")+COUNTIF('Control Catalogue'!E2:E100,"Partially Implemented")</x:f>
        <x:v>15</x:v>
      </x:c>
      <x:c r="D10" s="73" t="str">
        <x:v>Overall progress</x:v>
      </x:c>
      <x:c r="E10" s="46" t="str">
        <x:v>Four of six phases completed</x:v>
      </x:c>
      <x:c r="F10" s="80" t="str">
        <x:v>75%</x:v>
      </x:c>
    </x:row>
    <x:row r="11">
      <x:c r="A11" s="59" t="str">
        <x:v>Open treatment actions</x:v>
      </x:c>
      <x:c r="B11" s="39" t="n">
        <x:f>COUNTIF('Treatment Plan'!J2:J50,"Open")+COUNTIF('Treatment Plan'!J2:J50,"In Progress")</x:f>
        <x:v>9</x:v>
      </x:c>
      <x:c r="D11" s="73" t="str">
        <x:v>Next</x:v>
      </x:c>
      <x:c r="E11" s="46" t="str">
        <x:v>GitHub, Notion, LinkedIn and final QA</x:v>
      </x:c>
      <x:c r="F11" s="80" t="str">
        <x:v>Day 3</x:v>
      </x:c>
    </x:row>
    <x:row r="12">
      <x:c r="A12" s="56"/>
    </x:row>
    <x:row r="13">
      <x:c r="A13" s="56"/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mergeCells>
    <x:mergeCell ref="A1:H2"/>
    <x:mergeCell ref="A3:H3"/>
    <x:mergeCell ref="D5:H5"/>
  </x:mergeCells>
  <x:pageMargins left="0.7" right="0.7" top="0.75" bottom="0.75" header="0.3" footer="0.3"/>
  <x:drawing xmlns:r="http://schemas.openxmlformats.org/officeDocument/2006/relationships" r:id="Rcf724f840253449b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54" t="str">
        <x:v>Project Charter and Portfolio Reframing</x:v>
      </x:c>
      <x:c r="B1" s="14"/>
      <x:c r="C1" s="14"/>
      <x:c r="D1" s="14"/>
      <x:c r="E1" s="14"/>
      <x:c r="F1" s="14"/>
    </x:row>
    <x:row r="2">
      <x:c r="A2" s="54"/>
      <x:c r="B2" s="14"/>
      <x:c r="C2" s="14"/>
      <x:c r="D2" s="14"/>
      <x:c r="E2" s="14"/>
      <x:c r="F2" s="14"/>
    </x:row>
    <x:row r="3">
      <x:c r="A3" s="56"/>
    </x:row>
    <x:row r="4">
      <x:c r="A4" s="66" t="str">
        <x:v>Field</x:v>
      </x:c>
      <x:c r="B4" s="6" t="str">
        <x:v>Approved Baseline</x:v>
      </x:c>
    </x:row>
    <x:row r="5">
      <x:c r="A5" s="67" t="str">
        <x:v>Project Title</x:v>
      </x:c>
      <x:c r="B5" s="46" t="str">
        <x:v>Enterprise Data Security Governance and Technical Controls Implementation</x:v>
      </x:c>
    </x:row>
    <x:row r="6">
      <x:c r="A6" s="67" t="str">
        <x:v>Simulated Organisation</x:v>
      </x:c>
      <x:c r="B6" s="46" t="str">
        <x:v>Northstar Retail Group</x:v>
      </x:c>
    </x:row>
    <x:row r="7">
      <x:c r="A7" s="67" t="str">
        <x:v>Organisation Profile</x:v>
      </x:c>
      <x:c r="B7" s="46" t="str">
        <x:v>A simulated mid-sized omnichannel retailer using cloud analytics to process sales transactions, website events, analytical summaries, machine-learning outputs, NoSQL records, and management dashboards.</x:v>
      </x:c>
    </x:row>
    <x:row r="8">
      <x:c r="A8" s="67" t="str">
        <x:v>Business Problem</x:v>
      </x:c>
      <x:c r="B8" s="46" t="str">
        <x:v>The organisation needs to obtain business value from analytics while controlling confidentiality, integrity, availability, privacy, model risk, third-party exposure, and unauthorised access across the data lifecycle.</x:v>
      </x:c>
    </x:row>
    <x:row r="9">
      <x:c r="A9" s="67" t="str">
        <x:v>Portfolio Positioning</x:v>
      </x:c>
      <x:c r="B9" s="46" t="str">
        <x:v>A data-security GRC implementation supported by genuine technical evidence from Spark, Parquet, R, Shiny, MongoDB, and a basic query application.</x:v>
      </x:c>
    </x:row>
    <x:row r="10">
      <x:c r="A10" s="67" t="str">
        <x:v>Scope</x:v>
      </x:c>
      <x:c r="B10" s="46" t="str">
        <x:v>Data acquisition, ingestion, storage, transformation, analytics, machine learning, NoSQL serving, visualisation, access governance, retention, privacy, monitoring, and incident-readiness recommendations.</x:v>
      </x:c>
    </x:row>
    <x:row r="11">
      <x:c r="A11" s="67" t="str">
        <x:v>Out of Scope</x:v>
      </x:c>
      <x:c r="B11" s="46" t="str">
        <x:v>Production deployment, certification, legal opinion, live customer data, production SIEM implementation, penetration testing, and guaranteed regulatory compliance.</x:v>
      </x:c>
    </x:row>
    <x:row r="12">
      <x:c r="A12" s="67" t="str">
        <x:v>Primary Objectives</x:v>
      </x:c>
      <x:c r="B12" s="46" t="str">
        <x:v>Classify data assets; identify and assess risks; define ownership; design controls; map technical evidence; establish retention and privacy expectations; document residual risk and management recommendations.</x:v>
      </x:c>
    </x:row>
    <x:row r="13">
      <x:c r="A13" s="67" t="str">
        <x:v>Key Assumptions</x:v>
      </x:c>
      <x:c r="B13" s="46" t="str">
        <x:v>The organisation and data are simulated; technical controls were implemented in a learning/prototype environment; cloud services are used; production access would be more restricted; policies and retention periods require legal and business approval.</x:v>
      </x:c>
    </x:row>
    <x:row r="14">
      <x:c r="A14" s="67" t="str">
        <x:v>Success Criteria</x:v>
      </x:c>
      <x:c r="B14" s="46" t="str">
        <x:v>Public artefacts contain no academic identifiers or credentials; every control claim is evidence-backed or labelled as recommended; the case study is understandable to recruiters and GRC practitioners; the implementation is clearly disclosed as a portfolio prototype.</x:v>
      </x:c>
    </x:row>
    <x:row r="15">
      <x:c r="A15" s="67" t="str">
        <x:v>Delivery Disclosure</x:v>
      </x:c>
      <x:c r="B15" s="46" t="str">
        <x:v>AI tools supported planning, drafting, formatting, and code assistance. The portfolio owner provided oversight, executed technical steps requiring account access, validated outputs, and approved the final artefacts.</x:v>
      </x:c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8" hidden="0" customWidth="1"/>
    <x:col min="4" max="4" width="26" hidden="0" customWidth="1"/>
    <x:col min="5" max="5" width="16" hidden="0" customWidth="1"/>
    <x:col min="6" max="6" width="23" hidden="0" customWidth="1"/>
    <x:col min="7" max="7" width="23" hidden="0" customWidth="1"/>
    <x:col min="8" max="8" width="16" hidden="0" customWidth="1"/>
    <x:col min="9" max="9" width="14" hidden="0" customWidth="1"/>
    <x:col min="10" max="10" width="13" hidden="0" customWidth="1"/>
    <x:col min="11" max="11" width="36" hidden="0" customWidth="1"/>
    <x:col min="12" max="12" width="30" hidden="0" customWidth="1"/>
    <x:col min="13" max="13" width="20" hidden="0" customWidth="1"/>
    <x:col min="14" max="14" width="38" hidden="0" customWidth="1"/>
    <x:col min="15" max="15" width="40" hidden="0" customWidth="1"/>
  </x:cols>
  <x:sheetData>
    <x:row r="1">
      <x:c r="A1" s="66" t="str">
        <x:v>Asset ID</x:v>
      </x:c>
      <x:c r="B1" s="6" t="str">
        <x:v>Data Asset</x:v>
      </x:c>
      <x:c r="C1" s="6" t="str">
        <x:v>Description</x:v>
      </x:c>
      <x:c r="D1" s="6" t="str">
        <x:v>Source / System</x:v>
      </x:c>
      <x:c r="E1" s="6" t="str">
        <x:v>Format</x:v>
      </x:c>
      <x:c r="F1" s="6" t="str">
        <x:v>Data Owner</x:v>
      </x:c>
      <x:c r="G1" s="6" t="str">
        <x:v>Data Steward</x:v>
      </x:c>
      <x:c r="H1" s="6" t="str">
        <x:v>Classification</x:v>
      </x:c>
      <x:c r="I1" s="6" t="str">
        <x:v>Personal Data</x:v>
      </x:c>
      <x:c r="J1" s="6" t="str">
        <x:v>Criticality</x:v>
      </x:c>
      <x:c r="K1" s="6" t="str">
        <x:v>Business Purpose</x:v>
      </x:c>
      <x:c r="L1" s="6" t="str">
        <x:v>Primary Storage</x:v>
      </x:c>
      <x:c r="M1" s="6" t="str">
        <x:v>Illustrative Retention</x:v>
      </x:c>
      <x:c r="N1" s="6" t="str">
        <x:v>Privacy / Compliance Notes</x:v>
      </x:c>
      <x:c r="O1" s="6" t="str">
        <x:v>Key Risks</x:v>
      </x:c>
    </x:row>
    <x:row r="2">
      <x:c r="A2" s="70" t="str">
        <x:v>D-001</x:v>
      </x:c>
      <x:c r="B2" s="46" t="str">
        <x:v>Retail transaction source</x:v>
      </x:c>
      <x:c r="C2" s="46" t="str">
        <x:v>Order, customer, product, shipping, sales, discount and profit records.</x:v>
      </x:c>
      <x:c r="D2" s="46" t="str">
        <x:v>Point-of-sale / order systems</x:v>
      </x:c>
      <x:c r="E2" s="46" t="str">
        <x:v>CSV</x:v>
      </x:c>
      <x:c r="F2" s="46" t="str">
        <x:v>Head of Retail Operations</x:v>
      </x:c>
      <x:c r="G2" s="46" t="str">
        <x:v>Data Engineering Lead</x:v>
      </x:c>
      <x:c r="H2" s="46" t="str">
        <x:v>Confidential</x:v>
      </x:c>
      <x:c r="I2" s="46" t="str">
        <x:v>Potential</x:v>
      </x:c>
      <x:c r="J2" s="46" t="str">
        <x:v>High</x:v>
      </x:c>
      <x:c r="K2" s="46" t="str">
        <x:v>Sales, profitability and operational analysis</x:v>
      </x:c>
      <x:c r="L2" s="46" t="str">
        <x:v>Controlled object storage / Drive prototype</x:v>
      </x:c>
      <x:c r="M2" s="46" t="str">
        <x:v>7 years</x:v>
      </x:c>
      <x:c r="N2" s="46" t="str">
        <x:v>Retention is illustrative and requires applicable legal and finance approval.</x:v>
      </x:c>
      <x:c r="O2" s="46" t="str">
        <x:v>Tampering, unauthorised access, incorrect parsing, excessive retention</x:v>
      </x:c>
    </x:row>
    <x:row r="3">
      <x:c r="A3" s="70" t="str">
        <x:v>D-002</x:v>
      </x:c>
      <x:c r="B3" s="46" t="str">
        <x:v>Website behaviour events</x:v>
      </x:c>
      <x:c r="C3" s="46" t="str">
        <x:v>Page views, product views, cart activity, checkout events and session duration.</x:v>
      </x:c>
      <x:c r="D3" s="46" t="str">
        <x:v>Web analytics platform</x:v>
      </x:c>
      <x:c r="E3" s="46" t="str">
        <x:v>JSON</x:v>
      </x:c>
      <x:c r="F3" s="46" t="str">
        <x:v>Digital Commerce Director</x:v>
      </x:c>
      <x:c r="G3" s="46" t="str">
        <x:v>Analytics Lead</x:v>
      </x:c>
      <x:c r="H3" s="46" t="str">
        <x:v>Confidential</x:v>
      </x:c>
      <x:c r="I3" s="46" t="str">
        <x:v>Potential</x:v>
      </x:c>
      <x:c r="J3" s="46" t="str">
        <x:v>Medium</x:v>
      </x:c>
      <x:c r="K3" s="46" t="str">
        <x:v>Customer journey and engagement analysis</x:v>
      </x:c>
      <x:c r="L3" s="46" t="str">
        <x:v>Controlled object storage / event platform</x:v>
      </x:c>
      <x:c r="M3" s="46" t="str">
        <x:v>12 months</x:v>
      </x:c>
      <x:c r="N3" s="46" t="str">
        <x:v>Behavioural data may become personal when linked to identifiers.</x:v>
      </x:c>
      <x:c r="O3" s="46" t="str">
        <x:v>Tracking overreach, re-identification, weak consent or transparency</x:v>
      </x:c>
    </x:row>
    <x:row r="4">
      <x:c r="A4" s="70" t="str">
        <x:v>D-003</x:v>
      </x:c>
      <x:c r="B4" s="46" t="str">
        <x:v>Cleaned analytical sales dataset</x:v>
      </x:c>
      <x:c r="C4" s="46" t="str">
        <x:v>Validated and type-corrected retail dataset prepared for analytics.</x:v>
      </x:c>
      <x:c r="D4" s="46" t="str">
        <x:v>Spark processing layer</x:v>
      </x:c>
      <x:c r="E4" s="46" t="str">
        <x:v>Parquet</x:v>
      </x:c>
      <x:c r="F4" s="46" t="str">
        <x:v>Head of Data</x:v>
      </x:c>
      <x:c r="G4" s="46" t="str">
        <x:v>Data Engineering Lead</x:v>
      </x:c>
      <x:c r="H4" s="46" t="str">
        <x:v>Confidential</x:v>
      </x:c>
      <x:c r="I4" s="46" t="str">
        <x:v>Potential</x:v>
      </x:c>
      <x:c r="J4" s="46" t="str">
        <x:v>High</x:v>
      </x:c>
      <x:c r="K4" s="46" t="str">
        <x:v>Reliable analytics and downstream modelling</x:v>
      </x:c>
      <x:c r="L4" s="46" t="str">
        <x:v>Distributed storage / object storage</x:v>
      </x:c>
      <x:c r="M4" s="46" t="str">
        <x:v>24 months</x:v>
      </x:c>
      <x:c r="N4" s="46" t="str">
        <x:v>Derived data remains subject to source-data restrictions.</x:v>
      </x:c>
      <x:c r="O4" s="46" t="str">
        <x:v>Integrity errors, unauthorised reuse, stale data</x:v>
      </x:c>
    </x:row>
    <x:row r="5">
      <x:c r="A5" s="70" t="str">
        <x:v>D-004</x:v>
      </x:c>
      <x:c r="B5" s="46" t="str">
        <x:v>Analytical summaries</x:v>
      </x:c>
      <x:c r="C5" s="46" t="str">
        <x:v>Category, regional, product and monthly performance results.</x:v>
      </x:c>
      <x:c r="D5" s="46" t="str">
        <x:v>Spark analytics</x:v>
      </x:c>
      <x:c r="E5" s="46" t="str">
        <x:v>Parquet / CSV</x:v>
      </x:c>
      <x:c r="F5" s="46" t="str">
        <x:v>Business Intelligence Manager</x:v>
      </x:c>
      <x:c r="G5" s="46" t="str">
        <x:v>Data Analyst</x:v>
      </x:c>
      <x:c r="H5" s="46" t="str">
        <x:v>Internal</x:v>
      </x:c>
      <x:c r="I5" s="46" t="str">
        <x:v>No</x:v>
      </x:c>
      <x:c r="J5" s="46" t="str">
        <x:v>Medium</x:v>
      </x:c>
      <x:c r="K5" s="46" t="str">
        <x:v>Management reporting and trend analysis</x:v>
      </x:c>
      <x:c r="L5" s="46" t="str">
        <x:v>Analytics output repository</x:v>
      </x:c>
      <x:c r="M5" s="46" t="str">
        <x:v>36 months</x:v>
      </x:c>
      <x:c r="N5" s="46" t="str">
        <x:v>Aggregated outputs may still reveal sensitive commercial information.</x:v>
      </x:c>
      <x:c r="O5" s="46" t="str">
        <x:v>Misinterpretation, unauthorised disclosure, stale reporting</x:v>
      </x:c>
    </x:row>
    <x:row r="6">
      <x:c r="A6" s="70" t="str">
        <x:v>D-005</x:v>
      </x:c>
      <x:c r="B6" s="46" t="str">
        <x:v>Model training dataset</x:v>
      </x:c>
      <x:c r="C6" s="46" t="str">
        <x:v>Selected sales, quantity, discount, category, segment and region variables.</x:v>
      </x:c>
      <x:c r="D6" s="46" t="str">
        <x:v>R modelling environment</x:v>
      </x:c>
      <x:c r="E6" s="46" t="str">
        <x:v>Data frame / CSV</x:v>
      </x:c>
      <x:c r="F6" s="46" t="str">
        <x:v>Model Owner</x:v>
      </x:c>
      <x:c r="G6" s="46" t="str">
        <x:v>Data Scientist</x:v>
      </x:c>
      <x:c r="H6" s="46" t="str">
        <x:v>Confidential</x:v>
      </x:c>
      <x:c r="I6" s="46" t="str">
        <x:v>Potential</x:v>
      </x:c>
      <x:c r="J6" s="46" t="str">
        <x:v>High</x:v>
      </x:c>
      <x:c r="K6" s="46" t="str">
        <x:v>Profit-prediction model development</x:v>
      </x:c>
      <x:c r="L6" s="46" t="str">
        <x:v>Controlled modelling workspace</x:v>
      </x:c>
      <x:c r="M6" s="46" t="str">
        <x:v>Model life + 12 months</x:v>
      </x:c>
      <x:c r="N6" s="46" t="str">
        <x:v>Training data should be versioned and approved for model use.</x:v>
      </x:c>
      <x:c r="O6" s="46" t="str">
        <x:v>Bias, leakage, unauthorised model reuse</x:v>
      </x:c>
    </x:row>
    <x:row r="7">
      <x:c r="A7" s="70" t="str">
        <x:v>D-006</x:v>
      </x:c>
      <x:c r="B7" s="46" t="str">
        <x:v>Model predictions and metrics</x:v>
      </x:c>
      <x:c r="C7" s="46" t="str">
        <x:v>Predicted profit values, MAE, RMSE and R-squared results.</x:v>
      </x:c>
      <x:c r="D7" s="46" t="str">
        <x:v>R / Shiny</x:v>
      </x:c>
      <x:c r="E7" s="46" t="str">
        <x:v>CSV / dashboard</x:v>
      </x:c>
      <x:c r="F7" s="46" t="str">
        <x:v>Model Owner</x:v>
      </x:c>
      <x:c r="G7" s="46" t="str">
        <x:v>Data Scientist</x:v>
      </x:c>
      <x:c r="H7" s="46" t="str">
        <x:v>Internal</x:v>
      </x:c>
      <x:c r="I7" s="46" t="str">
        <x:v>No</x:v>
      </x:c>
      <x:c r="J7" s="46" t="str">
        <x:v>Medium</x:v>
      </x:c>
      <x:c r="K7" s="46" t="str">
        <x:v>Model validation and decision support</x:v>
      </x:c>
      <x:c r="L7" s="46" t="str">
        <x:v>Model output repository</x:v>
      </x:c>
      <x:c r="M7" s="46" t="str">
        <x:v>12 months</x:v>
      </x:c>
      <x:c r="N7" s="46" t="str">
        <x:v>Predictions are not approved for automated decisions.</x:v>
      </x:c>
      <x:c r="O7" s="46" t="str">
        <x:v>Misuse, overreliance, performance drift</x:v>
      </x:c>
    </x:row>
    <x:row r="8">
      <x:c r="A8" s="70" t="str">
        <x:v>D-007</x:v>
      </x:c>
      <x:c r="B8" s="46" t="str">
        <x:v>MongoDB analytical records</x:v>
      </x:c>
      <x:c r="C8" s="46" t="str">
        <x:v>Category, regional and top-product analytical documents.</x:v>
      </x:c>
      <x:c r="D8" s="46" t="str">
        <x:v>MongoDB Atlas</x:v>
      </x:c>
      <x:c r="E8" s="46" t="str">
        <x:v>BSON / JSON</x:v>
      </x:c>
      <x:c r="F8" s="46" t="str">
        <x:v>Head of Data</x:v>
      </x:c>
      <x:c r="G8" s="46" t="str">
        <x:v>Database Administrator</x:v>
      </x:c>
      <x:c r="H8" s="46" t="str">
        <x:v>Confidential</x:v>
      </x:c>
      <x:c r="I8" s="46" t="str">
        <x:v>No</x:v>
      </x:c>
      <x:c r="J8" s="46" t="str">
        <x:v>High</x:v>
      </x:c>
      <x:c r="K8" s="46" t="str">
        <x:v>Fast analytical serving for the query application</x:v>
      </x:c>
      <x:c r="L8" s="46" t="str">
        <x:v>MongoDB Atlas</x:v>
      </x:c>
      <x:c r="M8" s="46" t="str">
        <x:v>36 months</x:v>
      </x:c>
      <x:c r="N8" s="46" t="str">
        <x:v>Access should be restricted to approved application and administrative identities.</x:v>
      </x:c>
      <x:c r="O8" s="46" t="str">
        <x:v>Credential exposure, broad network access, excessive privileges</x:v>
      </x:c>
    </x:row>
    <x:row r="9">
      <x:c r="A9" s="70" t="str">
        <x:v>D-008</x:v>
      </x:c>
      <x:c r="B9" s="46" t="str">
        <x:v>Dashboard views</x:v>
      </x:c>
      <x:c r="C9" s="46" t="str">
        <x:v>Filtered retail metrics, plots, model metrics and query results.</x:v>
      </x:c>
      <x:c r="D9" s="46" t="str">
        <x:v>R Shiny / Gradio</x:v>
      </x:c>
      <x:c r="E9" s="46" t="str">
        <x:v>Web interface</x:v>
      </x:c>
      <x:c r="F9" s="46" t="str">
        <x:v>Business Intelligence Manager</x:v>
      </x:c>
      <x:c r="G9" s="46" t="str">
        <x:v>Application Owner</x:v>
      </x:c>
      <x:c r="H9" s="46" t="str">
        <x:v>Internal</x:v>
      </x:c>
      <x:c r="I9" s="46" t="str">
        <x:v>Potential</x:v>
      </x:c>
      <x:c r="J9" s="46" t="str">
        <x:v>Medium</x:v>
      </x:c>
      <x:c r="K9" s="46" t="str">
        <x:v>Management and analyst decision support</x:v>
      </x:c>
      <x:c r="L9" s="46" t="str">
        <x:v>Transient application output</x:v>
      </x:c>
      <x:c r="M9" s="46" t="str">
        <x:v>No separate retention</x:v>
      </x:c>
      <x:c r="N9" s="46" t="str">
        <x:v>Displayed fields should be minimised and role-filtered.</x:v>
      </x:c>
      <x:c r="O9" s="46" t="str">
        <x:v>Oversharing, insecure links, unauthorised queries</x:v>
      </x:c>
    </x:row>
    <x:row r="10">
      <x:c r="A10" s="70" t="str">
        <x:v>D-009</x:v>
      </x:c>
      <x:c r="B10" s="46" t="str">
        <x:v>Credentials and connection secrets</x:v>
      </x:c>
      <x:c r="C10" s="46" t="str">
        <x:v>Database usernames, passwords and connection strings.</x:v>
      </x:c>
      <x:c r="D10" s="46" t="str">
        <x:v>Colab Secrets / secret store</x:v>
      </x:c>
      <x:c r="E10" s="46" t="str">
        <x:v>Secret</x:v>
      </x:c>
      <x:c r="F10" s="46" t="str">
        <x:v>Security Officer</x:v>
      </x:c>
      <x:c r="G10" s="46" t="str">
        <x:v>Platform Administrator</x:v>
      </x:c>
      <x:c r="H10" s="46" t="str">
        <x:v>Restricted</x:v>
      </x:c>
      <x:c r="I10" s="46" t="str">
        <x:v>No</x:v>
      </x:c>
      <x:c r="J10" s="46" t="str">
        <x:v>Critical</x:v>
      </x:c>
      <x:c r="K10" s="46" t="str">
        <x:v>Secure application-to-database authentication</x:v>
      </x:c>
      <x:c r="L10" s="46" t="str">
        <x:v>Managed secret store</x:v>
      </x:c>
      <x:c r="M10" s="46" t="str">
        <x:v>Until rotated or revoked</x:v>
      </x:c>
      <x:c r="N10" s="46" t="str">
        <x:v>Credentials must never appear in code, screenshots or public repositories.</x:v>
      </x:c>
      <x:c r="O10" s="46" t="str">
        <x:v>Account takeover, unauthorised database access</x:v>
      </x:c>
    </x:row>
    <x:row r="11">
      <x:c r="A11" s="70" t="str">
        <x:v>D-010</x:v>
      </x:c>
      <x:c r="B11" s="46" t="str">
        <x:v>Execution logs and evidence</x:v>
      </x:c>
      <x:c r="C11" s="46" t="str">
        <x:v>Screenshots, console output and validation evidence.</x:v>
      </x:c>
      <x:c r="D11" s="46" t="str">
        <x:v>Colab, RStudio, MongoDB, dashboards</x:v>
      </x:c>
      <x:c r="E11" s="46" t="str">
        <x:v>PNG / logs</x:v>
      </x:c>
      <x:c r="F11" s="46" t="str">
        <x:v>Portfolio Owner / Audit Lead</x:v>
      </x:c>
      <x:c r="G11" s="46" t="str">
        <x:v>GRC Analyst</x:v>
      </x:c>
      <x:c r="H11" s="46" t="str">
        <x:v>Confidential</x:v>
      </x:c>
      <x:c r="I11" s="46" t="str">
        <x:v>Potential</x:v>
      </x:c>
      <x:c r="J11" s="46" t="str">
        <x:v>Medium</x:v>
      </x:c>
      <x:c r="K11" s="46" t="str">
        <x:v>Control testing, auditability and portfolio evidence</x:v>
      </x:c>
      <x:c r="L11" s="46" t="str">
        <x:v>Restricted evidence repository</x:v>
      </x:c>
      <x:c r="M11" s="46" t="str">
        <x:v>24 months</x:v>
      </x:c>
      <x:c r="N11" s="46" t="str">
        <x:v>Evidence must be sanitised before public use.</x:v>
      </x:c>
      <x:c r="O11" s="46" t="str">
        <x:v>Secret leakage, personal data exposure, misleading evidence</x:v>
      </x:c>
    </x:row>
    <x:row r="12">
      <x:c r="A12" s="70" t="str">
        <x:v>D-011</x:v>
      </x:c>
      <x:c r="B12" s="46" t="str">
        <x:v>Architecture and configuration documentation</x:v>
      </x:c>
      <x:c r="C12" s="46" t="str">
        <x:v>Data flow, trust boundaries, storage, processing, access and control design.</x:v>
      </x:c>
      <x:c r="D12" s="46" t="str">
        <x:v>Architecture repository</x:v>
      </x:c>
      <x:c r="E12" s="46" t="str">
        <x:v>PNG / drawio / Markdown</x:v>
      </x:c>
      <x:c r="F12" s="46" t="str">
        <x:v>Chief Technology Officer</x:v>
      </x:c>
      <x:c r="G12" s="46" t="str">
        <x:v>Security Architect</x:v>
      </x:c>
      <x:c r="H12" s="46" t="str">
        <x:v>Internal</x:v>
      </x:c>
      <x:c r="I12" s="46" t="str">
        <x:v>No</x:v>
      </x:c>
      <x:c r="J12" s="46" t="str">
        <x:v>High</x:v>
      </x:c>
      <x:c r="K12" s="46" t="str">
        <x:v>Design governance, change control and audit support</x:v>
      </x:c>
      <x:c r="L12" s="46" t="str">
        <x:v>Controlled documentation repository</x:v>
      </x:c>
      <x:c r="M12" s="46" t="str">
        <x:v>Current + 3 years</x:v>
      </x:c>
      <x:c r="N12" s="46" t="str">
        <x:v>Obsolete designs should be archived and clearly versioned.</x:v>
      </x:c>
      <x:c r="O12" s="46" t="str">
        <x:v>Security information disclosure, outdated configurations</x:v>
      </x:c>
    </x:row>
    <x:row r="13">
      <x:c r="A13" s="56"/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H2:H50">
    <x:cfRule type="expression" dxfId="0" priority="1">
      <x:formula>H2="Restricted"</x:formula>
    </x:cfRule>
  </x:conditionalFormatting>
  <x:conditionalFormatting sqref="J2:J50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2">
    <x:dataValidation type="list" sqref="H2:H50">
      <x:formula1>"Public,Internal,Confidential,Restricted"</x:formula1>
    </x:dataValidation>
    <x:dataValidation type="list" sqref="J2:J5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eddc67933a4b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5" hidden="0" customWidth="1"/>
    <x:col min="4" max="4" width="19" hidden="0" customWidth="1"/>
    <x:col min="5" max="5" width="42" hidden="0" customWidth="1"/>
    <x:col min="6" max="6" width="34" hidden="0" customWidth="1"/>
    <x:col min="7" max="7" width="34" hidden="0" customWidth="1"/>
    <x:col min="8" max="8" width="23" hidden="0" customWidth="1"/>
  </x:cols>
  <x:sheetData>
    <x:row r="1">
      <x:c r="A1" s="66" t="str">
        <x:v>Evidence ID</x:v>
      </x:c>
      <x:c r="B1" s="6" t="str">
        <x:v>Original Evidence</x:v>
      </x:c>
      <x:c r="C1" s="6" t="str">
        <x:v>Purpose</x:v>
      </x:c>
      <x:c r="D1" s="6" t="str">
        <x:v>Public Decision</x:v>
      </x:c>
      <x:c r="E1" s="6" t="str">
        <x:v>Required Sanitisation</x:v>
      </x:c>
      <x:c r="F1" s="6" t="str">
        <x:v>Portfolio Filename</x:v>
      </x:c>
      <x:c r="G1" s="6" t="str">
        <x:v>Phase 3 Action</x:v>
      </x:c>
      <x:c r="H1" s="6" t="str">
        <x:v>Status</x:v>
      </x:c>
    </x:row>
    <x:row r="2">
      <x:c r="A2" s="70" t="str">
        <x:v>E-001</x:v>
      </x:c>
      <x:c r="B2" s="46" t="str">
        <x:v>CYB304_Enterprise_Big_Data_Architecture.png</x:v>
      </x:c>
      <x:c r="C2" s="46" t="str">
        <x:v>Show end-to-end data flow and control layers</x:v>
      </x:c>
      <x:c r="D2" s="46" t="str">
        <x:v>Retain</x:v>
      </x:c>
      <x:c r="E2" s="46" t="str">
        <x:v>Remove academic labels if present; add trust boundaries and control callouts</x:v>
      </x:c>
      <x:c r="F2" s="46" t="str">
        <x:v>enterprise-data-security-architecture.png</x:v>
      </x:c>
      <x:c r="G2" s="46" t="str">
        <x:v>Redesign into security-focused version</x:v>
      </x:c>
      <x:c r="H2" s="46" t="str">
        <x:v>Approved baseline</x:v>
      </x:c>
    </x:row>
    <x:row r="3">
      <x:c r="A3" s="70" t="str">
        <x:v>E-002</x:v>
      </x:c>
      <x:c r="B3" s="46" t="str">
        <x:v>04_dataset_dimensions.png</x:v>
      </x:c>
      <x:c r="C3" s="46" t="str">
        <x:v>Prove source volume and structure</x:v>
      </x:c>
      <x:c r="D3" s="46" t="str">
        <x:v>Crop / replace</x:v>
      </x:c>
      <x:c r="E3" s="46" t="str">
        <x:v>Crop notebook title, Drive path and account details</x:v>
      </x:c>
      <x:c r="F3" s="46" t="str">
        <x:v>source-dataset-profile.png</x:v>
      </x:c>
      <x:c r="G3" s="46" t="str">
        <x:v>Create clean evidence card</x:v>
      </x:c>
      <x:c r="H3" s="46" t="str">
        <x:v>Replace in Phase 3</x:v>
      </x:c>
    </x:row>
    <x:row r="4">
      <x:c r="A4" s="70" t="str">
        <x:v>E-003</x:v>
      </x:c>
      <x:c r="B4" s="46" t="str">
        <x:v>04_conversion_validation.png</x:v>
      </x:c>
      <x:c r="C4" s="46" t="str">
        <x:v>Prove type conversion and null validation</x:v>
      </x:c>
      <x:c r="D4" s="46" t="str">
        <x:v>Crop / replace</x:v>
      </x:c>
      <x:c r="E4" s="46" t="str">
        <x:v>Remove academic notebook/path references</x:v>
      </x:c>
      <x:c r="F4" s="46" t="str">
        <x:v>data-quality-validation.png</x:v>
      </x:c>
      <x:c r="G4" s="46" t="str">
        <x:v>Create clean evidence card</x:v>
      </x:c>
      <x:c r="H4" s="46" t="str">
        <x:v>Replace in Phase 3</x:v>
      </x:c>
    </x:row>
    <x:row r="5">
      <x:c r="A5" s="70" t="str">
        <x:v>E-004</x:v>
      </x:c>
      <x:c r="B5" s="46" t="str">
        <x:v>05_numeric_summary_statistics.png</x:v>
      </x:c>
      <x:c r="C5" s="46" t="str">
        <x:v>Show profiling and outlier awareness</x:v>
      </x:c>
      <x:c r="D5" s="46" t="str">
        <x:v>Crop / replace</x:v>
      </x:c>
      <x:c r="E5" s="46" t="str">
        <x:v>Remove notebook branding and unrelated UI</x:v>
      </x:c>
      <x:c r="F5" s="46" t="str">
        <x:v>data-profiling-summary.png</x:v>
      </x:c>
      <x:c r="G5" s="46" t="str">
        <x:v>Create clean evidence card</x:v>
      </x:c>
      <x:c r="H5" s="46" t="str">
        <x:v>Replace in Phase 3</x:v>
      </x:c>
    </x:row>
    <x:row r="6">
      <x:c r="A6" s="70" t="str">
        <x:v>E-005</x:v>
      </x:c>
      <x:c r="B6" s="46" t="str">
        <x:v>07a_largest_losses.png</x:v>
      </x:c>
      <x:c r="C6" s="46" t="str">
        <x:v>Demonstrate anomaly and loss detection</x:v>
      </x:c>
      <x:c r="D6" s="46" t="str">
        <x:v>Crop / replace</x:v>
      </x:c>
      <x:c r="E6" s="46" t="str">
        <x:v>Remove academic labels and personal browser details</x:v>
      </x:c>
      <x:c r="F6" s="46" t="str">
        <x:v>loss-anomaly-detection.png</x:v>
      </x:c>
      <x:c r="G6" s="46" t="str">
        <x:v>Create clean evidence card</x:v>
      </x:c>
      <x:c r="H6" s="46" t="str">
        <x:v>Replace in Phase 3</x:v>
      </x:c>
    </x:row>
    <x:row r="7">
      <x:c r="A7" s="70" t="str">
        <x:v>E-006</x:v>
      </x:c>
      <x:c r="B7" s="46" t="str">
        <x:v>09_category_performance.png</x:v>
      </x:c>
      <x:c r="C7" s="46" t="str">
        <x:v>Demonstrate governed analytical outputs</x:v>
      </x:c>
      <x:c r="D7" s="46" t="str">
        <x:v>Crop / replace</x:v>
      </x:c>
      <x:c r="E7" s="46" t="str">
        <x:v>Remove academic notebook/path references</x:v>
      </x:c>
      <x:c r="F7" s="46" t="str">
        <x:v>category-performance-analysis.png</x:v>
      </x:c>
      <x:c r="G7" s="46" t="str">
        <x:v>Create clean evidence card</x:v>
      </x:c>
      <x:c r="H7" s="46" t="str">
        <x:v>Replace in Phase 3</x:v>
      </x:c>
    </x:row>
    <x:row r="8">
      <x:c r="A8" s="70" t="str">
        <x:v>E-007</x:v>
      </x:c>
      <x:c r="B8" s="46" t="str">
        <x:v>15_spark_in_memory_performance.png</x:v>
      </x:c>
      <x:c r="C8" s="46" t="str">
        <x:v>Show performance and scalability testing</x:v>
      </x:c>
      <x:c r="D8" s="46" t="str">
        <x:v>Crop / replace</x:v>
      </x:c>
      <x:c r="E8" s="46" t="str">
        <x:v>Remove academic notebook/path references</x:v>
      </x:c>
      <x:c r="F8" s="46" t="str">
        <x:v>spark-cache-performance-test.png</x:v>
      </x:c>
      <x:c r="G8" s="46" t="str">
        <x:v>Create clean evidence card</x:v>
      </x:c>
      <x:c r="H8" s="46" t="str">
        <x:v>Replace in Phase 3</x:v>
      </x:c>
    </x:row>
    <x:row r="9">
      <x:c r="A9" s="70" t="str">
        <x:v>E-008</x:v>
      </x:c>
      <x:c r="B9" s="46" t="str">
        <x:v>04_regression_model_trained.png</x:v>
      </x:c>
      <x:c r="C9" s="46" t="str">
        <x:v>Show model training and documented fit</x:v>
      </x:c>
      <x:c r="D9" s="46" t="str">
        <x:v>Crop / replace</x:v>
      </x:c>
      <x:c r="E9" s="46" t="str">
        <x:v>Remove project/course naming and personal workspace details</x:v>
      </x:c>
      <x:c r="F9" s="46" t="str">
        <x:v>model-training-evidence.png</x:v>
      </x:c>
      <x:c r="G9" s="46" t="str">
        <x:v>Recapture or crop</x:v>
      </x:c>
      <x:c r="H9" s="46" t="str">
        <x:v>Replace in Phase 3</x:v>
      </x:c>
    </x:row>
    <x:row r="10">
      <x:c r="A10" s="70" t="str">
        <x:v>E-009</x:v>
      </x:c>
      <x:c r="B10" s="46" t="str">
        <x:v>05_model_evaluation.png</x:v>
      </x:c>
      <x:c r="C10" s="46" t="str">
        <x:v>Show MAE, RMSE and R-squared</x:v>
      </x:c>
      <x:c r="D10" s="46" t="str">
        <x:v>Retain after crop</x:v>
      </x:c>
      <x:c r="E10" s="46" t="str">
        <x:v>Crop RStudio account/workspace details</x:v>
      </x:c>
      <x:c r="F10" s="46" t="str">
        <x:v>model-evaluation-results.png</x:v>
      </x:c>
      <x:c r="G10" s="46" t="str">
        <x:v>Create clean evidence card</x:v>
      </x:c>
      <x:c r="H10" s="46" t="str">
        <x:v>Approved with changes</x:v>
      </x:c>
    </x:row>
    <x:row r="11">
      <x:c r="A11" s="70" t="str">
        <x:v>E-010</x:v>
      </x:c>
      <x:c r="B11" s="46" t="str">
        <x:v>06_shiny_retail_dashboard.png</x:v>
      </x:c>
      <x:c r="C11" s="46" t="str">
        <x:v>Show controlled retail visualisation</x:v>
      </x:c>
      <x:c r="D11" s="46" t="str">
        <x:v>Replace</x:v>
      </x:c>
      <x:c r="E11" s="46" t="str">
        <x:v>Change CYB 304 title to professional portfolio title</x:v>
      </x:c>
      <x:c r="F11" s="46" t="str">
        <x:v>retail-analytics-dashboard.png</x:v>
      </x:c>
      <x:c r="G11" s="46" t="str">
        <x:v>Edit app title and recapture</x:v>
      </x:c>
      <x:c r="H11" s="46" t="str">
        <x:v>User technical action</x:v>
      </x:c>
    </x:row>
    <x:row r="12">
      <x:c r="A12" s="70" t="str">
        <x:v>E-011</x:v>
      </x:c>
      <x:c r="B12" s="46" t="str">
        <x:v>07_shiny_machine_learning.png</x:v>
      </x:c>
      <x:c r="C12" s="46" t="str">
        <x:v>Show model-governance dashboard view</x:v>
      </x:c>
      <x:c r="D12" s="46" t="str">
        <x:v>Replace</x:v>
      </x:c>
      <x:c r="E12" s="46" t="str">
        <x:v>Change CYB 304 title and remove workspace details</x:v>
      </x:c>
      <x:c r="F12" s="46" t="str">
        <x:v>model-governance-dashboard.png</x:v>
      </x:c>
      <x:c r="G12" s="46" t="str">
        <x:v>Edit app title and recapture</x:v>
      </x:c>
      <x:c r="H12" s="46" t="str">
        <x:v>User technical action</x:v>
      </x:c>
    </x:row>
    <x:row r="13">
      <x:c r="A13" s="70" t="str">
        <x:v>E-012</x:v>
      </x:c>
      <x:c r="B13" s="46" t="str">
        <x:v>08_shiny_filter_test.png</x:v>
      </x:c>
      <x:c r="C13" s="46" t="str">
        <x:v>Prove role-relevant filtering</x:v>
      </x:c>
      <x:c r="D13" s="46" t="str">
        <x:v>Replace</x:v>
      </x:c>
      <x:c r="E13" s="46" t="str">
        <x:v>Change CYB 304 title and remove workspace details</x:v>
      </x:c>
      <x:c r="F13" s="46" t="str">
        <x:v>dashboard-filter-test.png</x:v>
      </x:c>
      <x:c r="G13" s="46" t="str">
        <x:v>Edit app title and recapture</x:v>
      </x:c>
      <x:c r="H13" s="46" t="str">
        <x:v>User technical action</x:v>
      </x:c>
    </x:row>
    <x:row r="14">
      <x:c r="A14" s="70" t="str">
        <x:v>E-013</x:v>
      </x:c>
      <x:c r="B14" s="46" t="str">
        <x:v>01_documents_inserted.png</x:v>
      </x:c>
      <x:c r="C14" s="46" t="str">
        <x:v>Prove NoSQL data insertion</x:v>
      </x:c>
      <x:c r="D14" s="46" t="str">
        <x:v>Crop / replace</x:v>
      </x:c>
      <x:c r="E14" s="46" t="str">
        <x:v>Remove notebook title and any project identifiers</x:v>
      </x:c>
      <x:c r="F14" s="46" t="str">
        <x:v>nosql-insertion-evidence.png</x:v>
      </x:c>
      <x:c r="G14" s="46" t="str">
        <x:v>Create clean evidence card</x:v>
      </x:c>
      <x:c r="H14" s="46" t="str">
        <x:v>Replace in Phase 3</x:v>
      </x:c>
    </x:row>
    <x:row r="15">
      <x:c r="A15" s="70" t="str">
        <x:v>E-014</x:v>
      </x:c>
      <x:c r="B15" s="46" t="str">
        <x:v>02a_category_query.png</x:v>
      </x:c>
      <x:c r="C15" s="46" t="str">
        <x:v>Prove database query and sorting</x:v>
      </x:c>
      <x:c r="D15" s="46" t="str">
        <x:v>Crop / replace</x:v>
      </x:c>
      <x:c r="E15" s="46" t="str">
        <x:v>Remove notebook title and browser details</x:v>
      </x:c>
      <x:c r="F15" s="46" t="str">
        <x:v>nosql-category-query.png</x:v>
      </x:c>
      <x:c r="G15" s="46" t="str">
        <x:v>Create clean evidence card</x:v>
      </x:c>
      <x:c r="H15" s="46" t="str">
        <x:v>Replace in Phase 3</x:v>
      </x:c>
    </x:row>
    <x:row r="16">
      <x:c r="A16" s="70" t="str">
        <x:v>E-015</x:v>
      </x:c>
      <x:c r="B16" s="46" t="str">
        <x:v>02b_filtered_region_query.png</x:v>
      </x:c>
      <x:c r="C16" s="46" t="str">
        <x:v>Prove filtered query controls</x:v>
      </x:c>
      <x:c r="D16" s="46" t="str">
        <x:v>Crop / replace</x:v>
      </x:c>
      <x:c r="E16" s="46" t="str">
        <x:v>Remove notebook title and browser details</x:v>
      </x:c>
      <x:c r="F16" s="46" t="str">
        <x:v>nosql-filtered-query.png</x:v>
      </x:c>
      <x:c r="G16" s="46" t="str">
        <x:v>Create clean evidence card</x:v>
      </x:c>
      <x:c r="H16" s="46" t="str">
        <x:v>Replace in Phase 3</x:v>
      </x:c>
    </x:row>
    <x:row r="17">
      <x:c r="A17" s="70" t="str">
        <x:v>E-016</x:v>
      </x:c>
      <x:c r="B17" s="46" t="str">
        <x:v>03_web_application.png</x:v>
      </x:c>
      <x:c r="C17" s="46" t="str">
        <x:v>Show web application results</x:v>
      </x:c>
      <x:c r="D17" s="46" t="str">
        <x:v>Replace</x:v>
      </x:c>
      <x:c r="E17" s="46" t="str">
        <x:v>Change CYB 304 title and do not expose temporary URL</x:v>
      </x:c>
      <x:c r="F17" s="46" t="str">
        <x:v>data-governance-query-app.png</x:v>
      </x:c>
      <x:c r="G17" s="46" t="str">
        <x:v>Edit Gradio title and recapture</x:v>
      </x:c>
      <x:c r="H17" s="46" t="str">
        <x:v>User technical action</x:v>
      </x:c>
    </x:row>
    <x:row r="18">
      <x:c r="A18" s="70" t="str">
        <x:v>E-017</x:v>
      </x:c>
      <x:c r="B18" s="46" t="str">
        <x:v>04_web_filter_test.png</x:v>
      </x:c>
      <x:c r="C18" s="46" t="str">
        <x:v>Prove interactive query filtering</x:v>
      </x:c>
      <x:c r="D18" s="46" t="str">
        <x:v>Replace</x:v>
      </x:c>
      <x:c r="E18" s="46" t="str">
        <x:v>Change title and hide temporary/public URL</x:v>
      </x:c>
      <x:c r="F18" s="46" t="str">
        <x:v>query-app-filter-test.png</x:v>
      </x:c>
      <x:c r="G18" s="46" t="str">
        <x:v>Edit Gradio title and recapture</x:v>
      </x:c>
      <x:c r="H18" s="46" t="str">
        <x:v>User technical action</x:v>
      </x:c>
    </x:row>
    <x:row r="19">
      <x:c r="A19" s="70" t="str">
        <x:v>E-018</x:v>
      </x:c>
      <x:c r="B19" s="46" t="str">
        <x:v>Credential-exposing or failed screenshots</x:v>
      </x:c>
      <x:c r="C19" s="46" t="str">
        <x:v>Not suitable for public evidence</x:v>
      </x:c>
      <x:c r="D19" s="46" t="str">
        <x:v>Exclude</x:v>
      </x:c>
      <x:c r="E19" s="46" t="str">
        <x:v>Delete from public package; retain only in restricted audit history if needed</x:v>
      </x:c>
      <x:c r="F19" s="46" t="str">
        <x:v>not-applicable</x:v>
      </x:c>
      <x:c r="G19" s="46" t="str">
        <x:v>Do not publish</x:v>
      </x:c>
      <x:c r="H19" s="46" t="str">
        <x:v>Excluded</x:v>
      </x:c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H2:H50">
    <x:cfRule type="expression" dxfId="1" priority="1">
      <x:formula>H2="Excluded"</x:formula>
    </x:cfRule>
    <x:cfRule type="expression" dxfId="2" priority="2">
      <x:formula>H2="Approved baseline"</x:formula>
    </x:cfRule>
  </x:conditionalFormatting>
  <x:dataValidations count="2">
    <x:dataValidation type="list" sqref="D2:D50">
      <x:formula1>"Retain,Retain after crop,Crop / replace,Replace,Exclude"</x:formula1>
    </x:dataValidation>
    <x:dataValidation type="list" sqref="H2:H50">
      <x:formula1>"Approved baseline,Approved with changes,Replace in Phase 3,User technical action,Excluded"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f3ef0f744344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19" hidden="0" customWidth="1"/>
    <x:col min="5" max="5" width="34" hidden="0" customWidth="1"/>
    <x:col min="6" max="6" width="34" hidden="0" customWidth="1"/>
    <x:col min="7" max="7" width="45" hidden="0" customWidth="1"/>
    <x:col min="8" max="8" width="11" hidden="0" customWidth="1"/>
    <x:col min="9" max="9" width="10" hidden="0" customWidth="1"/>
    <x:col min="10" max="10" width="13" hidden="0" customWidth="1"/>
    <x:col min="11" max="11" width="14" hidden="0" customWidth="1"/>
    <x:col min="12" max="12" width="12" hidden="0" customWidth="1"/>
    <x:col min="13" max="13" width="24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6" hidden="0" customWidth="1"/>
  </x:cols>
  <x:sheetData>
    <x:row r="1">
      <x:c r="A1" s="66" t="str">
        <x:v>Risk ID</x:v>
      </x:c>
      <x:c r="B1" s="6" t="str">
        <x:v>Risk Statement</x:v>
      </x:c>
      <x:c r="C1" s="6" t="str">
        <x:v>Primary Asset</x:v>
      </x:c>
      <x:c r="D1" s="6" t="str">
        <x:v>Category</x:v>
      </x:c>
      <x:c r="E1" s="6" t="str">
        <x:v>Threat / Event</x:v>
      </x:c>
      <x:c r="F1" s="6" t="str">
        <x:v>Vulnerability</x:v>
      </x:c>
      <x:c r="G1" s="6" t="str">
        <x:v>Existing Controls</x:v>
      </x:c>
      <x:c r="H1" s="6" t="str">
        <x:v>Likelihood</x:v>
      </x:c>
      <x:c r="I1" s="6" t="str">
        <x:v>Impact</x:v>
      </x:c>
      <x:c r="J1" s="6" t="str">
        <x:v>Inherent Score</x:v>
      </x:c>
      <x:c r="K1" s="6" t="str">
        <x:v>Inherent Rating</x:v>
      </x:c>
      <x:c r="L1" s="6" t="str">
        <x:v>Treatment</x:v>
      </x:c>
      <x:c r="M1" s="6" t="str">
        <x:v>Control Owner</x:v>
      </x:c>
      <x:c r="N1" s="6" t="str">
        <x:v>Residual Likelihood</x:v>
      </x:c>
      <x:c r="O1" s="6" t="str">
        <x:v>Residual Impact</x:v>
      </x:c>
      <x:c r="P1" s="6" t="str">
        <x:v>Residual Score</x:v>
      </x:c>
      <x:c r="Q1" s="6" t="str">
        <x:v>Residual Rating</x:v>
      </x:c>
      <x:c r="R1" s="6" t="str">
        <x:v>Status</x:v>
      </x:c>
    </x:row>
    <x:row r="2">
      <x:c r="A2" s="70" t="str">
        <x:v>R-001</x:v>
      </x:c>
      <x:c r="B2" s="46" t="str">
        <x:v>Untrusted, altered or malformed source data could enter the analytics environment and produce unreliable outputs.</x:v>
      </x:c>
      <x:c r="C2" s="46" t="str">
        <x:v>D-001 / D-002</x:v>
      </x:c>
      <x:c r="D2" s="46" t="str">
        <x:v>Data Integrity</x:v>
      </x:c>
      <x:c r="E2" s="46" t="str">
        <x:v>Source tampering or malformed records</x:v>
      </x:c>
      <x:c r="F2" s="46" t="str">
        <x:v>Insufficient source validation and provenance checks</x:v>
      </x:c>
      <x:c r="G2" s="46" t="str">
        <x:v>Trusted-source selection, schema inspection, type checks, record-count reconciliation</x:v>
      </x:c>
      <x:c r="H2" s="46" t="n">
        <x:v>3</x:v>
      </x:c>
      <x:c r="I2" s="46" t="n">
        <x:v>4</x:v>
      </x:c>
      <x:c r="J2" s="46" t="n">
        <x:f>H2*I2</x:f>
        <x:v>12</x:v>
      </x:c>
      <x:c r="K2" s="46" t="str">
        <x:f>IF(J2&gt;=20,"Critical",IF(J2&gt;=12,"High",IF(J2&gt;=6,"Medium","Low")))</x:f>
        <x:v>High</x:v>
      </x:c>
      <x:c r="L2" s="46" t="str">
        <x:v>Mitigate</x:v>
      </x:c>
      <x:c r="M2" s="46" t="str">
        <x:v>Data Engineering Lead</x:v>
      </x:c>
      <x:c r="N2" s="46" t="n">
        <x:v>2</x:v>
      </x:c>
      <x:c r="O2" s="46" t="n">
        <x:v>3</x:v>
      </x:c>
      <x:c r="P2" s="46" t="n">
        <x:f>N2*O2</x:f>
        <x:v>6</x:v>
      </x:c>
      <x:c r="Q2" s="46" t="str">
        <x:f>IF(P2&gt;=20,"Critical",IF(P2&gt;=12,"High",IF(P2&gt;=6,"Medium","Low")))</x:f>
        <x:v>Medium</x:v>
      </x:c>
      <x:c r="R2" s="46" t="str">
        <x:v>In Progress</x:v>
      </x:c>
    </x:row>
    <x:row r="3">
      <x:c r="A3" s="70" t="str">
        <x:v>R-002</x:v>
      </x:c>
      <x:c r="B3" s="46" t="str">
        <x:v>Embedded quotation marks could shift values into incorrect columns and corrupt analytical results.</x:v>
      </x:c>
      <x:c r="C3" s="46" t="str">
        <x:v>D-001 / D-003</x:v>
      </x:c>
      <x:c r="D3" s="46" t="str">
        <x:v>Data Quality</x:v>
      </x:c>
      <x:c r="E3" s="46" t="str">
        <x:v>CSV parsing failure</x:v>
      </x:c>
      <x:c r="F3" s="46" t="str">
        <x:v>Default parser settings and insufficient early field validation</x:v>
      </x:c>
      <x:c r="G3" s="46" t="str">
        <x:v>Explicit quote, escape and multiline settings; try-cast; null validation</x:v>
      </x:c>
      <x:c r="H3" s="46" t="n">
        <x:v>4</x:v>
      </x:c>
      <x:c r="I3" s="46" t="n">
        <x:v>4</x:v>
      </x:c>
      <x:c r="J3" s="46" t="n">
        <x:f>H3*I3</x:f>
        <x:v>16</x:v>
      </x:c>
      <x:c r="K3" s="46" t="str">
        <x:f>IF(J3&gt;=20,"Critical",IF(J3&gt;=12,"High",IF(J3&gt;=6,"Medium","Low")))</x:f>
        <x:v>High</x:v>
      </x:c>
      <x:c r="L3" s="46" t="str">
        <x:v>Mitigate</x:v>
      </x:c>
      <x:c r="M3" s="46" t="str">
        <x:v>Data Engineering Lead</x:v>
      </x:c>
      <x:c r="N3" s="46" t="n">
        <x:v>2</x:v>
      </x:c>
      <x:c r="O3" s="46" t="n">
        <x:v>2</x:v>
      </x:c>
      <x:c r="P3" s="46" t="n">
        <x:f>N3*O3</x:f>
        <x:v>4</x:v>
      </x:c>
      <x:c r="Q3" s="46" t="str">
        <x:f>IF(P3&gt;=20,"Critical",IF(P3&gt;=12,"High",IF(P3&gt;=6,"Medium","Low")))</x:f>
        <x:v>Low</x:v>
      </x:c>
      <x:c r="R3" s="46" t="str">
        <x:v>Implemented</x:v>
      </x:c>
    </x:row>
    <x:row r="4">
      <x:c r="A4" s="70" t="str">
        <x:v>R-003</x:v>
      </x:c>
      <x:c r="B4" s="46" t="str">
        <x:v>Unauthorised users could access raw or cleaned datasets stored in cloud folders or distributed storage.</x:v>
      </x:c>
      <x:c r="C4" s="46" t="str">
        <x:v>D-001 / D-003</x:v>
      </x:c>
      <x:c r="D4" s="46" t="str">
        <x:v>Access Control</x:v>
      </x:c>
      <x:c r="E4" s="46" t="str">
        <x:v>Unauthorised data access</x:v>
      </x:c>
      <x:c r="F4" s="46" t="str">
        <x:v>Broad sharing, weak role design or inherited permissions</x:v>
      </x:c>
      <x:c r="G4" s="46" t="str">
        <x:v>Restricted storage, role-based access recommendations, separate evidence folders</x:v>
      </x:c>
      <x:c r="H4" s="46" t="n">
        <x:v>3</x:v>
      </x:c>
      <x:c r="I4" s="46" t="n">
        <x:v>5</x:v>
      </x:c>
      <x:c r="J4" s="46" t="n">
        <x:f>H4*I4</x:f>
        <x:v>15</x:v>
      </x:c>
      <x:c r="K4" s="46" t="str">
        <x:f>IF(J4&gt;=20,"Critical",IF(J4&gt;=12,"High",IF(J4&gt;=6,"Medium","Low")))</x:f>
        <x:v>High</x:v>
      </x:c>
      <x:c r="L4" s="46" t="str">
        <x:v>Mitigate</x:v>
      </x:c>
      <x:c r="M4" s="46" t="str">
        <x:v>Data Owner</x:v>
      </x:c>
      <x:c r="N4" s="46" t="n">
        <x:v>2</x:v>
      </x:c>
      <x:c r="O4" s="46" t="n">
        <x:v>4</x:v>
      </x:c>
      <x:c r="P4" s="46" t="n">
        <x:f>N4*O4</x:f>
        <x:v>8</x:v>
      </x:c>
      <x:c r="Q4" s="46" t="str">
        <x:f>IF(P4&gt;=20,"Critical",IF(P4&gt;=12,"High",IF(P4&gt;=6,"Medium","Low")))</x:f>
        <x:v>Medium</x:v>
      </x:c>
      <x:c r="R4" s="46" t="str">
        <x:v>In Progress</x:v>
      </x:c>
    </x:row>
    <x:row r="5">
      <x:c r="A5" s="70" t="str">
        <x:v>R-004</x:v>
      </x:c>
      <x:c r="B5" s="46" t="str">
        <x:v>Database credentials or connection strings could be exposed through notebooks, screenshots or repositories.</x:v>
      </x:c>
      <x:c r="C5" s="46" t="str">
        <x:v>D-009</x:v>
      </x:c>
      <x:c r="D5" s="46" t="str">
        <x:v>Credential Security</x:v>
      </x:c>
      <x:c r="E5" s="46" t="str">
        <x:v>Credential disclosure</x:v>
      </x:c>
      <x:c r="F5" s="46" t="str">
        <x:v>Secrets embedded in code or visible evidence</x:v>
      </x:c>
      <x:c r="G5" s="46" t="str">
        <x:v>Colab Secrets, separate application identity, excluded credential screenshots</x:v>
      </x:c>
      <x:c r="H5" s="46" t="n">
        <x:v>3</x:v>
      </x:c>
      <x:c r="I5" s="46" t="n">
        <x:v>5</x:v>
      </x:c>
      <x:c r="J5" s="46" t="n">
        <x:f>H5*I5</x:f>
        <x:v>15</x:v>
      </x:c>
      <x:c r="K5" s="46" t="str">
        <x:f>IF(J5&gt;=20,"Critical",IF(J5&gt;=12,"High",IF(J5&gt;=6,"Medium","Low")))</x:f>
        <x:v>High</x:v>
      </x:c>
      <x:c r="L5" s="46" t="str">
        <x:v>Mitigate</x:v>
      </x:c>
      <x:c r="M5" s="46" t="str">
        <x:v>Platform Administrator</x:v>
      </x:c>
      <x:c r="N5" s="46" t="n">
        <x:v>1</x:v>
      </x:c>
      <x:c r="O5" s="46" t="n">
        <x:v>4</x:v>
      </x:c>
      <x:c r="P5" s="46" t="n">
        <x:f>N5*O5</x:f>
        <x:v>4</x:v>
      </x:c>
      <x:c r="Q5" s="46" t="str">
        <x:f>IF(P5&gt;=20,"Critical",IF(P5&gt;=12,"High",IF(P5&gt;=6,"Medium","Low")))</x:f>
        <x:v>Low</x:v>
      </x:c>
      <x:c r="R5" s="46" t="str">
        <x:v>Implemented</x:v>
      </x:c>
    </x:row>
    <x:row r="6">
      <x:c r="A6" s="70" t="str">
        <x:v>R-005</x:v>
      </x:c>
      <x:c r="B6" s="46" t="str">
        <x:v>A broad 0.0.0.0/0 network rule could expose MongoDB to unnecessary internet-based attack attempts.</x:v>
      </x:c>
      <x:c r="C6" s="46" t="str">
        <x:v>D-007 / D-009</x:v>
      </x:c>
      <x:c r="D6" s="46" t="str">
        <x:v>Network Security</x:v>
      </x:c>
      <x:c r="E6" s="46" t="str">
        <x:v>Unauthorised remote connection attempts</x:v>
      </x:c>
      <x:c r="F6" s="46" t="str">
        <x:v>Temporary allow-from-anywhere configuration</x:v>
      </x:c>
      <x:c r="G6" s="46" t="str">
        <x:v>Temporary use only, authentication, TLS, rule removed after completion</x:v>
      </x:c>
      <x:c r="H6" s="46" t="n">
        <x:v>4</x:v>
      </x:c>
      <x:c r="I6" s="46" t="n">
        <x:v>5</x:v>
      </x:c>
      <x:c r="J6" s="46" t="n">
        <x:f>H6*I6</x:f>
        <x:v>20</x:v>
      </x:c>
      <x:c r="K6" s="46" t="str">
        <x:f>IF(J6&gt;=20,"Critical",IF(J6&gt;=12,"High",IF(J6&gt;=6,"Medium","Low")))</x:f>
        <x:v>Critical</x:v>
      </x:c>
      <x:c r="L6" s="46" t="str">
        <x:v>Avoid</x:v>
      </x:c>
      <x:c r="M6" s="46" t="str">
        <x:v>Database Administrator</x:v>
      </x:c>
      <x:c r="N6" s="46" t="n">
        <x:v>1</x:v>
      </x:c>
      <x:c r="O6" s="46" t="n">
        <x:v>4</x:v>
      </x:c>
      <x:c r="P6" s="46" t="n">
        <x:f>N6*O6</x:f>
        <x:v>4</x:v>
      </x:c>
      <x:c r="Q6" s="46" t="str">
        <x:f>IF(P6&gt;=20,"Critical",IF(P6&gt;=12,"High",IF(P6&gt;=6,"Medium","Low")))</x:f>
        <x:v>Low</x:v>
      </x:c>
      <x:c r="R6" s="46" t="str">
        <x:v>Closed</x:v>
      </x:c>
    </x:row>
    <x:row r="7">
      <x:c r="A7" s="70" t="str">
        <x:v>R-006</x:v>
      </x:c>
      <x:c r="B7" s="46" t="str">
        <x:v>Dashboards or query applications could reveal sensitive fields or commercially sensitive analytics to unauthorised users.</x:v>
      </x:c>
      <x:c r="C7" s="46" t="str">
        <x:v>D-008</x:v>
      </x:c>
      <x:c r="D7" s="46" t="str">
        <x:v>Information Disclosure</x:v>
      </x:c>
      <x:c r="E7" s="46" t="str">
        <x:v>Oversharing through visualisation</x:v>
      </x:c>
      <x:c r="F7" s="46" t="str">
        <x:v>Weak field-level filtering and public application links</x:v>
      </x:c>
      <x:c r="G7" s="46" t="str">
        <x:v>Filtered views, limited displayed fields, no credentials in screenshots</x:v>
      </x:c>
      <x:c r="H7" s="46" t="n">
        <x:v>3</x:v>
      </x:c>
      <x:c r="I7" s="46" t="n">
        <x:v>4</x:v>
      </x:c>
      <x:c r="J7" s="46" t="n">
        <x:f>H7*I7</x:f>
        <x:v>12</x:v>
      </x:c>
      <x:c r="K7" s="46" t="str">
        <x:f>IF(J7&gt;=20,"Critical",IF(J7&gt;=12,"High",IF(J7&gt;=6,"Medium","Low")))</x:f>
        <x:v>High</x:v>
      </x:c>
      <x:c r="L7" s="46" t="str">
        <x:v>Mitigate</x:v>
      </x:c>
      <x:c r="M7" s="46" t="str">
        <x:v>Application Owner</x:v>
      </x:c>
      <x:c r="N7" s="46" t="n">
        <x:v>2</x:v>
      </x:c>
      <x:c r="O7" s="46" t="n">
        <x:v>3</x:v>
      </x:c>
      <x:c r="P7" s="46" t="n">
        <x:f>N7*O7</x:f>
        <x:v>6</x:v>
      </x:c>
      <x:c r="Q7" s="46" t="str">
        <x:f>IF(P7&gt;=20,"Critical",IF(P7&gt;=12,"High",IF(P7&gt;=6,"Medium","Low")))</x:f>
        <x:v>Medium</x:v>
      </x:c>
      <x:c r="R7" s="46" t="str">
        <x:v>In Progress</x:v>
      </x:c>
    </x:row>
    <x:row r="8">
      <x:c r="A8" s="70" t="str">
        <x:v>R-007</x:v>
      </x:c>
      <x:c r="B8" s="46" t="str">
        <x:v>Application or administrative database identities could have privileges beyond their business need.</x:v>
      </x:c>
      <x:c r="C8" s="46" t="str">
        <x:v>D-007</x:v>
      </x:c>
      <x:c r="D8" s="46" t="str">
        <x:v>Identity and Access</x:v>
      </x:c>
      <x:c r="E8" s="46" t="str">
        <x:v>Privilege misuse or account compromise</x:v>
      </x:c>
      <x:c r="F8" s="46" t="str">
        <x:v>Over-privileged database roles</x:v>
      </x:c>
      <x:c r="G8" s="46" t="str">
        <x:v>Separate application user; least-privilege role design recommended</x:v>
      </x:c>
      <x:c r="H8" s="46" t="n">
        <x:v>3</x:v>
      </x:c>
      <x:c r="I8" s="46" t="n">
        <x:v>5</x:v>
      </x:c>
      <x:c r="J8" s="46" t="n">
        <x:f>H8*I8</x:f>
        <x:v>15</x:v>
      </x:c>
      <x:c r="K8" s="46" t="str">
        <x:f>IF(J8&gt;=20,"Critical",IF(J8&gt;=12,"High",IF(J8&gt;=6,"Medium","Low")))</x:f>
        <x:v>High</x:v>
      </x:c>
      <x:c r="L8" s="46" t="str">
        <x:v>Mitigate</x:v>
      </x:c>
      <x:c r="M8" s="46" t="str">
        <x:v>Database Administrator</x:v>
      </x:c>
      <x:c r="N8" s="46" t="n">
        <x:v>2</x:v>
      </x:c>
      <x:c r="O8" s="46" t="n">
        <x:v>4</x:v>
      </x:c>
      <x:c r="P8" s="46" t="n">
        <x:f>N8*O8</x:f>
        <x:v>8</x:v>
      </x:c>
      <x:c r="Q8" s="46" t="str">
        <x:f>IF(P8&gt;=20,"Critical",IF(P8&gt;=12,"High",IF(P8&gt;=6,"Medium","Low")))</x:f>
        <x:v>Medium</x:v>
      </x:c>
      <x:c r="R8" s="46" t="str">
        <x:v>In Progress</x:v>
      </x:c>
    </x:row>
    <x:row r="9">
      <x:c r="A9" s="70" t="str">
        <x:v>R-008</x:v>
      </x:c>
      <x:c r="B9" s="46" t="str">
        <x:v>A modest-performing model could be misused as an automated decision tool and lead to poor pricing or discount decisions.</x:v>
      </x:c>
      <x:c r="C9" s="46" t="str">
        <x:v>D-005 / D-006</x:v>
      </x:c>
      <x:c r="D9" s="46" t="str">
        <x:v>Model Risk</x:v>
      </x:c>
      <x:c r="E9" s="46" t="str">
        <x:v>Model misuse or inaccurate prediction</x:v>
      </x:c>
      <x:c r="F9" s="46" t="str">
        <x:v>Limited predictors, outliers, linear assumptions and no production validation</x:v>
      </x:c>
      <x:c r="G9" s="46" t="str">
        <x:v>MAE/RMSE/R-squared reported, limitations documented, human oversight required</x:v>
      </x:c>
      <x:c r="H9" s="46" t="n">
        <x:v>4</x:v>
      </x:c>
      <x:c r="I9" s="46" t="n">
        <x:v>4</x:v>
      </x:c>
      <x:c r="J9" s="46" t="n">
        <x:f>H9*I9</x:f>
        <x:v>16</x:v>
      </x:c>
      <x:c r="K9" s="46" t="str">
        <x:f>IF(J9&gt;=20,"Critical",IF(J9&gt;=12,"High",IF(J9&gt;=6,"Medium","Low")))</x:f>
        <x:v>High</x:v>
      </x:c>
      <x:c r="L9" s="46" t="str">
        <x:v>Mitigate</x:v>
      </x:c>
      <x:c r="M9" s="46" t="str">
        <x:v>Model Owner</x:v>
      </x:c>
      <x:c r="N9" s="46" t="n">
        <x:v>2</x:v>
      </x:c>
      <x:c r="O9" s="46" t="n">
        <x:v>3</x:v>
      </x:c>
      <x:c r="P9" s="46" t="n">
        <x:f>N9*O9</x:f>
        <x:v>6</x:v>
      </x:c>
      <x:c r="Q9" s="46" t="str">
        <x:f>IF(P9&gt;=20,"Critical",IF(P9&gt;=12,"High",IF(P9&gt;=6,"Medium","Low")))</x:f>
        <x:v>Medium</x:v>
      </x:c>
      <x:c r="R9" s="46" t="str">
        <x:v>Monitoring</x:v>
      </x:c>
    </x:row>
    <x:row r="10">
      <x:c r="A10" s="70" t="str">
        <x:v>R-009</x:v>
      </x:c>
      <x:c r="B10" s="46" t="str">
        <x:v>Data and evidence could be retained longer than necessary, increasing privacy, legal and storage exposure.</x:v>
      </x:c>
      <x:c r="C10" s="46" t="str">
        <x:v>All data assets</x:v>
      </x:c>
      <x:c r="D10" s="46" t="str">
        <x:v>Retention</x:v>
      </x:c>
      <x:c r="E10" s="46" t="str">
        <x:v>Excessive retention or incomplete deletion</x:v>
      </x:c>
      <x:c r="F10" s="46" t="str">
        <x:v>No approved retention schedule or disposal evidence</x:v>
      </x:c>
      <x:c r="G10" s="46" t="str">
        <x:v>Illustrative retention schedule and disposal methods created in Phase 2</x:v>
      </x:c>
      <x:c r="H10" s="46" t="n">
        <x:v>4</x:v>
      </x:c>
      <x:c r="I10" s="46" t="n">
        <x:v>3</x:v>
      </x:c>
      <x:c r="J10" s="46" t="n">
        <x:f>H10*I10</x:f>
        <x:v>12</x:v>
      </x:c>
      <x:c r="K10" s="46" t="str">
        <x:f>IF(J10&gt;=20,"Critical",IF(J10&gt;=12,"High",IF(J10&gt;=6,"Medium","Low")))</x:f>
        <x:v>High</x:v>
      </x:c>
      <x:c r="L10" s="46" t="str">
        <x:v>Mitigate</x:v>
      </x:c>
      <x:c r="M10" s="46" t="str">
        <x:v>Data Owner</x:v>
      </x:c>
      <x:c r="N10" s="46" t="n">
        <x:v>2</x:v>
      </x:c>
      <x:c r="O10" s="46" t="n">
        <x:v>2</x:v>
      </x:c>
      <x:c r="P10" s="46" t="n">
        <x:f>N10*O10</x:f>
        <x:v>4</x:v>
      </x:c>
      <x:c r="Q10" s="46" t="str">
        <x:f>IF(P10&gt;=20,"Critical",IF(P10&gt;=12,"High",IF(P10&gt;=6,"Medium","Low")))</x:f>
        <x:v>Low</x:v>
      </x:c>
      <x:c r="R10" s="46" t="str">
        <x:v>In Progress</x:v>
      </x:c>
    </x:row>
    <x:row r="11">
      <x:c r="A11" s="70" t="str">
        <x:v>R-010</x:v>
      </x:c>
      <x:c r="B11" s="46" t="str">
        <x:v>Insufficient logging and monitoring could delay detection of unauthorised access, data changes or control failures.</x:v>
      </x:c>
      <x:c r="C11" s="46" t="str">
        <x:v>D-003 / D-007 / D-008</x:v>
      </x:c>
      <x:c r="D11" s="46" t="str">
        <x:v>Monitoring</x:v>
      </x:c>
      <x:c r="E11" s="46" t="str">
        <x:v>Undetected misuse or configuration change</x:v>
      </x:c>
      <x:c r="F11" s="46" t="str">
        <x:v>Fragmented logs and no central alerting</x:v>
      </x:c>
      <x:c r="G11" s="46" t="str">
        <x:v>Execution logs retained; centralised logging and alerting recommended</x:v>
      </x:c>
      <x:c r="H11" s="46" t="n">
        <x:v>3</x:v>
      </x:c>
      <x:c r="I11" s="46" t="n">
        <x:v>4</x:v>
      </x:c>
      <x:c r="J11" s="46" t="n">
        <x:f>H11*I11</x:f>
        <x:v>12</x:v>
      </x:c>
      <x:c r="K11" s="46" t="str">
        <x:f>IF(J11&gt;=20,"Critical",IF(J11&gt;=12,"High",IF(J11&gt;=6,"Medium","Low")))</x:f>
        <x:v>High</x:v>
      </x:c>
      <x:c r="L11" s="46" t="str">
        <x:v>Mitigate</x:v>
      </x:c>
      <x:c r="M11" s="46" t="str">
        <x:v>Security Operations Lead</x:v>
      </x:c>
      <x:c r="N11" s="46" t="n">
        <x:v>2</x:v>
      </x:c>
      <x:c r="O11" s="46" t="n">
        <x:v>3</x:v>
      </x:c>
      <x:c r="P11" s="46" t="n">
        <x:f>N11*O11</x:f>
        <x:v>6</x:v>
      </x:c>
      <x:c r="Q11" s="46" t="str">
        <x:f>IF(P11&gt;=20,"Critical",IF(P11&gt;=12,"High",IF(P11&gt;=6,"Medium","Low")))</x:f>
        <x:v>Medium</x:v>
      </x:c>
      <x:c r="R11" s="46" t="str">
        <x:v>Recommended</x:v>
      </x:c>
    </x:row>
    <x:row r="12">
      <x:c r="A12" s="70" t="str">
        <x:v>R-011</x:v>
      </x:c>
      <x:c r="B12" s="46" t="str">
        <x:v>Loss of storage, database or processing services could interrupt analytics or cause data loss.</x:v>
      </x:c>
      <x:c r="C12" s="46" t="str">
        <x:v>D-003 / D-007</x:v>
      </x:c>
      <x:c r="D12" s="46" t="str">
        <x:v>Availability</x:v>
      </x:c>
      <x:c r="E12" s="46" t="str">
        <x:v>Service outage or data loss</x:v>
      </x:c>
      <x:c r="F12" s="46" t="str">
        <x:v>Single-environment prototype and untested recovery procedures</x:v>
      </x:c>
      <x:c r="G12" s="46" t="str">
        <x:v>Parquet exports, Drive backup, replication and recovery included in architecture</x:v>
      </x:c>
      <x:c r="H12" s="46" t="n">
        <x:v>3</x:v>
      </x:c>
      <x:c r="I12" s="46" t="n">
        <x:v>4</x:v>
      </x:c>
      <x:c r="J12" s="46" t="n">
        <x:f>H12*I12</x:f>
        <x:v>12</x:v>
      </x:c>
      <x:c r="K12" s="46" t="str">
        <x:f>IF(J12&gt;=20,"Critical",IF(J12&gt;=12,"High",IF(J12&gt;=6,"Medium","Low")))</x:f>
        <x:v>High</x:v>
      </x:c>
      <x:c r="L12" s="46" t="str">
        <x:v>Mitigate</x:v>
      </x:c>
      <x:c r="M12" s="46" t="str">
        <x:v>Platform Administrator</x:v>
      </x:c>
      <x:c r="N12" s="46" t="n">
        <x:v>2</x:v>
      </x:c>
      <x:c r="O12" s="46" t="n">
        <x:v>3</x:v>
      </x:c>
      <x:c r="P12" s="46" t="n">
        <x:f>N12*O12</x:f>
        <x:v>6</x:v>
      </x:c>
      <x:c r="Q12" s="46" t="str">
        <x:f>IF(P12&gt;=20,"Critical",IF(P12&gt;=12,"High",IF(P12&gt;=6,"Medium","Low")))</x:f>
        <x:v>Medium</x:v>
      </x:c>
      <x:c r="R12" s="46" t="str">
        <x:v>Recommended</x:v>
      </x:c>
    </x:row>
    <x:row r="13">
      <x:c r="A13" s="70" t="str">
        <x:v>R-012</x:v>
      </x:c>
      <x:c r="B13" s="46" t="str">
        <x:v>Website-event data could be linked with other identifiers and create privacy or re-identification risk.</x:v>
      </x:c>
      <x:c r="C13" s="46" t="str">
        <x:v>D-002</x:v>
      </x:c>
      <x:c r="D13" s="46" t="str">
        <x:v>Privacy</x:v>
      </x:c>
      <x:c r="E13" s="46" t="str">
        <x:v>Re-identification or excessive tracking</x:v>
      </x:c>
      <x:c r="F13" s="46" t="str">
        <x:v>Behavioural data collection without minimisation or clear purpose limits</x:v>
      </x:c>
      <x:c r="G13" s="46" t="str">
        <x:v>Simulated data, data minimisation, limited retention and privacy assessment</x:v>
      </x:c>
      <x:c r="H13" s="46" t="n">
        <x:v>3</x:v>
      </x:c>
      <x:c r="I13" s="46" t="n">
        <x:v>4</x:v>
      </x:c>
      <x:c r="J13" s="46" t="n">
        <x:f>H13*I13</x:f>
        <x:v>12</x:v>
      </x:c>
      <x:c r="K13" s="46" t="str">
        <x:f>IF(J13&gt;=20,"Critical",IF(J13&gt;=12,"High",IF(J13&gt;=6,"Medium","Low")))</x:f>
        <x:v>High</x:v>
      </x:c>
      <x:c r="L13" s="46" t="str">
        <x:v>Mitigate</x:v>
      </x:c>
      <x:c r="M13" s="46" t="str">
        <x:v>Privacy Officer</x:v>
      </x:c>
      <x:c r="N13" s="46" t="n">
        <x:v>2</x:v>
      </x:c>
      <x:c r="O13" s="46" t="n">
        <x:v>3</x:v>
      </x:c>
      <x:c r="P13" s="46" t="n">
        <x:f>N13*O13</x:f>
        <x:v>6</x:v>
      </x:c>
      <x:c r="Q13" s="46" t="str">
        <x:f>IF(P13&gt;=20,"Critical",IF(P13&gt;=12,"High",IF(P13&gt;=6,"Medium","Low")))</x:f>
        <x:v>Medium</x:v>
      </x:c>
      <x:c r="R13" s="46" t="str">
        <x:v>In Progress</x:v>
      </x:c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J2:J50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P2:P50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K2:K50">
    <x:cfRule type="expression" dxfId="3" priority="3">
      <x:formula>K2="Critical"</x:formula>
    </x:cfRule>
    <x:cfRule type="expression" dxfId="4" priority="4">
      <x:formula>K2="High"</x:formula>
    </x:cfRule>
  </x:conditionalFormatting>
  <x:conditionalFormatting sqref="Q2:Q50">
    <x:cfRule type="expression" dxfId="5" priority="5">
      <x:formula>Q2="Low"</x:formula>
    </x:cfRule>
  </x:conditionalFormatting>
  <x:dataValidations count="4">
    <x:dataValidation type="list" sqref="H2:I50">
      <x:formula1>"1,2,3,4,5"</x:formula1>
    </x:dataValidation>
    <x:dataValidation type="list" sqref="N2:O50">
      <x:formula1>"1,2,3,4,5"</x:formula1>
    </x:dataValidation>
    <x:dataValidation type="list" sqref="L2:L50">
      <x:formula1>"Mitigate,Avoid,Transfer,Accept"</x:formula1>
    </x:dataValidation>
    <x:dataValidation type="list" sqref="R2:R50">
      <x:formula1>"Open,In Progress,Implemented,Monitoring,Accepted,Closed,Recommended"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7269905ad48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55" hidden="0" customWidth="1"/>
    <x:col min="5" max="5" width="40" hidden="0" customWidth="1"/>
    <x:col min="6" max="6" width="24" hidden="0" customWidth="1"/>
    <x:col min="7" max="7" width="22" hidden="0" customWidth="1"/>
    <x:col min="8" max="8" width="42" hidden="0" customWidth="1"/>
    <x:col min="9" max="9" width="28" hidden="0" customWidth="1"/>
    <x:col min="10" max="10" width="16" hidden="0" customWidth="1"/>
  </x:cols>
  <x:sheetData>
    <x:row r="1">
      <x:c r="A1" s="66" t="str">
        <x:v>Action ID</x:v>
      </x:c>
      <x:c r="B1" s="6" t="str">
        <x:v>Risk ID</x:v>
      </x:c>
      <x:c r="C1" s="6" t="str">
        <x:v>Priority</x:v>
      </x:c>
      <x:c r="D1" s="6" t="str">
        <x:v>Treatment Action</x:v>
      </x:c>
      <x:c r="E1" s="6" t="str">
        <x:v>Deliverable / Evidence</x:v>
      </x:c>
      <x:c r="F1" s="6" t="str">
        <x:v>Owner</x:v>
      </x:c>
      <x:c r="G1" s="6" t="str">
        <x:v>Target Horizon</x:v>
      </x:c>
      <x:c r="H1" s="6" t="str">
        <x:v>Success Measure</x:v>
      </x:c>
      <x:c r="I1" s="6" t="str">
        <x:v>Dependency</x:v>
      </x:c>
      <x:c r="J1" s="6" t="str">
        <x:v>Status</x:v>
      </x:c>
    </x:row>
    <x:row r="2">
      <x:c r="A2" s="70" t="str">
        <x:v>A-001</x:v>
      </x:c>
      <x:c r="B2" s="46" t="str">
        <x:v>R-005</x:v>
      </x:c>
      <x:c r="C2" s="46" t="str">
        <x:v>Critical</x:v>
      </x:c>
      <x:c r="D2" s="46" t="str">
        <x:v>Remove broad internet access and restrict MongoDB network paths to approved hosts, private endpoints or controlled application infrastructure.</x:v>
      </x:c>
      <x:c r="E2" s="46" t="str">
        <x:v>Network configuration record and approved exception closure</x:v>
      </x:c>
      <x:c r="F2" s="46" t="str">
        <x:v>Database Administrator</x:v>
      </x:c>
      <x:c r="G2" s="46" t="str">
        <x:v>Immediate / before publication</x:v>
      </x:c>
      <x:c r="H2" s="46" t="str">
        <x:v>No 0.0.0.0/0 rule remains; connection works only through approved path</x:v>
      </x:c>
      <x:c r="I2" s="46" t="str">
        <x:v>Production hosting decision</x:v>
      </x:c>
      <x:c r="J2" s="46" t="str">
        <x:v>Closed</x:v>
      </x:c>
    </x:row>
    <x:row r="3">
      <x:c r="A3" s="70" t="str">
        <x:v>A-002</x:v>
      </x:c>
      <x:c r="B3" s="46" t="str">
        <x:v>R-004</x:v>
      </x:c>
      <x:c r="C3" s="46" t="str">
        <x:v>High</x:v>
      </x:c>
      <x:c r="D3" s="46" t="str">
        <x:v>Rotate any exposed database credentials and maintain all secrets in an approved secret-management service.</x:v>
      </x:c>
      <x:c r="E3" s="46" t="str">
        <x:v>Credential rotation evidence and secret-store configuration</x:v>
      </x:c>
      <x:c r="F3" s="46" t="str">
        <x:v>Platform Administrator</x:v>
      </x:c>
      <x:c r="G3" s="46" t="str">
        <x:v>Immediate</x:v>
      </x:c>
      <x:c r="H3" s="46" t="str">
        <x:v>No secrets in code, screenshots or repository history</x:v>
      </x:c>
      <x:c r="I3" s="46" t="str">
        <x:v>Access to database administration</x:v>
      </x:c>
      <x:c r="J3" s="46" t="str">
        <x:v>Implemented</x:v>
      </x:c>
    </x:row>
    <x:row r="4">
      <x:c r="A4" s="70" t="str">
        <x:v>A-003</x:v>
      </x:c>
      <x:c r="B4" s="46" t="str">
        <x:v>R-007</x:v>
      </x:c>
      <x:c r="C4" s="46" t="str">
        <x:v>High</x:v>
      </x:c>
      <x:c r="D4" s="46" t="str">
        <x:v>Define least-privilege roles for application, analyst and administrator identities and complete an access review.</x:v>
      </x:c>
      <x:c r="E4" s="46" t="str">
        <x:v>Approved access matrix and database-role configuration</x:v>
      </x:c>
      <x:c r="F4" s="46" t="str">
        <x:v>Database Administrator</x:v>
      </x:c>
      <x:c r="G4" s="46" t="str">
        <x:v>Before production</x:v>
      </x:c>
      <x:c r="H4" s="46" t="str">
        <x:v>Application identity has only required read/write permissions</x:v>
      </x:c>
      <x:c r="I4" s="46" t="str">
        <x:v>Role design approval</x:v>
      </x:c>
      <x:c r="J4" s="46" t="str">
        <x:v>In Progress</x:v>
      </x:c>
    </x:row>
    <x:row r="5">
      <x:c r="A5" s="70" t="str">
        <x:v>A-004</x:v>
      </x:c>
      <x:c r="B5" s="46" t="str">
        <x:v>R-003</x:v>
      </x:c>
      <x:c r="C5" s="46" t="str">
        <x:v>High</x:v>
      </x:c>
      <x:c r="D5" s="46" t="str">
        <x:v>Restrict raw and cleaned datasets to approved roles; review Drive and object-storage sharing.</x:v>
      </x:c>
      <x:c r="E5" s="46" t="str">
        <x:v>Access review record and folder permissions</x:v>
      </x:c>
      <x:c r="F5" s="46" t="str">
        <x:v>Data Owner</x:v>
      </x:c>
      <x:c r="G5" s="46" t="str">
        <x:v>Within 30 days</x:v>
      </x:c>
      <x:c r="H5" s="46" t="str">
        <x:v>No public links; access list matches approved roles</x:v>
      </x:c>
      <x:c r="I5" s="46" t="str">
        <x:v>Identity inventory</x:v>
      </x:c>
      <x:c r="J5" s="46" t="str">
        <x:v>In Progress</x:v>
      </x:c>
    </x:row>
    <x:row r="6">
      <x:c r="A6" s="70" t="str">
        <x:v>A-005</x:v>
      </x:c>
      <x:c r="B6" s="46" t="str">
        <x:v>R-006</x:v>
      </x:c>
      <x:c r="C6" s="46" t="str">
        <x:v>High</x:v>
      </x:c>
      <x:c r="D6" s="46" t="str">
        <x:v>Apply role-aware dashboard access, field minimisation and secure hosting; remove public temporary links.</x:v>
      </x:c>
      <x:c r="E6" s="46" t="str">
        <x:v>Dashboard access design and test evidence</x:v>
      </x:c>
      <x:c r="F6" s="46" t="str">
        <x:v>Application Owner</x:v>
      </x:c>
      <x:c r="G6" s="46" t="str">
        <x:v>Before production</x:v>
      </x:c>
      <x:c r="H6" s="46" t="str">
        <x:v>Unauthorised users cannot access restricted views or fields</x:v>
      </x:c>
      <x:c r="I6" s="46" t="str">
        <x:v>Hosting and identity provider</x:v>
      </x:c>
      <x:c r="J6" s="46" t="str">
        <x:v>Open</x:v>
      </x:c>
    </x:row>
    <x:row r="7">
      <x:c r="A7" s="70" t="str">
        <x:v>A-006</x:v>
      </x:c>
      <x:c r="B7" s="46" t="str">
        <x:v>R-008</x:v>
      </x:c>
      <x:c r="C7" s="46" t="str">
        <x:v>High</x:v>
      </x:c>
      <x:c r="D7" s="46" t="str">
        <x:v>Create a model-use standard covering approved purpose, prohibited automated use, validation, monitoring and human review.</x:v>
      </x:c>
      <x:c r="E7" s="46" t="str">
        <x:v>Model risk governance statement and review checklist</x:v>
      </x:c>
      <x:c r="F7" s="46" t="str">
        <x:v>Model Owner</x:v>
      </x:c>
      <x:c r="G7" s="46" t="str">
        <x:v>Within 30 days</x:v>
      </x:c>
      <x:c r="H7" s="46" t="str">
        <x:v>Model use is approved, monitored and not used as sole decision basis</x:v>
      </x:c>
      <x:c r="I7" s="46" t="str">
        <x:v>Business owner approval</x:v>
      </x:c>
      <x:c r="J7" s="46" t="str">
        <x:v>In Progress</x:v>
      </x:c>
    </x:row>
    <x:row r="8">
      <x:c r="A8" s="70" t="str">
        <x:v>A-007</x:v>
      </x:c>
      <x:c r="B8" s="46" t="str">
        <x:v>R-001</x:v>
      </x:c>
      <x:c r="C8" s="46" t="str">
        <x:v>High</x:v>
      </x:c>
      <x:c r="D8" s="46" t="str">
        <x:v>Add source provenance, file-hash validation and approved-source registration before ingestion.</x:v>
      </x:c>
      <x:c r="E8" s="46" t="str">
        <x:v>Source approval register and checksum validation</x:v>
      </x:c>
      <x:c r="F8" s="46" t="str">
        <x:v>Data Engineering Lead</x:v>
      </x:c>
      <x:c r="G8" s="46" t="str">
        <x:v>Within 60 days</x:v>
      </x:c>
      <x:c r="H8" s="46" t="str">
        <x:v>Unapproved or altered files are rejected</x:v>
      </x:c>
      <x:c r="I8" s="46" t="str">
        <x:v>Source-system cooperation</x:v>
      </x:c>
      <x:c r="J8" s="46" t="str">
        <x:v>Open</x:v>
      </x:c>
    </x:row>
    <x:row r="9">
      <x:c r="A9" s="70" t="str">
        <x:v>A-008</x:v>
      </x:c>
      <x:c r="B9" s="46" t="str">
        <x:v>R-009</x:v>
      </x:c>
      <x:c r="C9" s="46" t="str">
        <x:v>High</x:v>
      </x:c>
      <x:c r="D9" s="46" t="str">
        <x:v>Approve retention periods, automate deletion where possible and retain disposal evidence.</x:v>
      </x:c>
      <x:c r="E9" s="46" t="str">
        <x:v>Retention schedule, deletion workflow and disposal log</x:v>
      </x:c>
      <x:c r="F9" s="46" t="str">
        <x:v>Data Owner</x:v>
      </x:c>
      <x:c r="G9" s="46" t="str">
        <x:v>Within 60 days</x:v>
      </x:c>
      <x:c r="H9" s="46" t="str">
        <x:v>Expired data is deleted or archived according to policy</x:v>
      </x:c>
      <x:c r="I9" s="46" t="str">
        <x:v>Legal and finance review</x:v>
      </x:c>
      <x:c r="J9" s="46" t="str">
        <x:v>In Progress</x:v>
      </x:c>
    </x:row>
    <x:row r="10">
      <x:c r="A10" s="70" t="str">
        <x:v>A-009</x:v>
      </x:c>
      <x:c r="B10" s="46" t="str">
        <x:v>R-010</x:v>
      </x:c>
      <x:c r="C10" s="46" t="str">
        <x:v>Medium</x:v>
      </x:c>
      <x:c r="D10" s="46" t="str">
        <x:v>Centralise database, application and processing logs with alerting for access and configuration changes.</x:v>
      </x:c>
      <x:c r="E10" s="46" t="str">
        <x:v>Logging architecture and monitoring use cases</x:v>
      </x:c>
      <x:c r="F10" s="46" t="str">
        <x:v>Security Operations Lead</x:v>
      </x:c>
      <x:c r="G10" s="46" t="str">
        <x:v>Within 90 days</x:v>
      </x:c>
      <x:c r="H10" s="46" t="str">
        <x:v>Critical events are logged, retained and reviewed</x:v>
      </x:c>
      <x:c r="I10" s="46" t="str">
        <x:v>Monitoring platform</x:v>
      </x:c>
      <x:c r="J10" s="46" t="str">
        <x:v>Open</x:v>
      </x:c>
    </x:row>
    <x:row r="11">
      <x:c r="A11" s="70" t="str">
        <x:v>A-010</x:v>
      </x:c>
      <x:c r="B11" s="46" t="str">
        <x:v>R-011</x:v>
      </x:c>
      <x:c r="C11" s="46" t="str">
        <x:v>Medium</x:v>
      </x:c>
      <x:c r="D11" s="46" t="str">
        <x:v>Define backup frequency, recovery objectives and test restoration for data and configuration artefacts.</x:v>
      </x:c>
      <x:c r="E11" s="46" t="str">
        <x:v>Backup standard and recovery-test record</x:v>
      </x:c>
      <x:c r="F11" s="46" t="str">
        <x:v>Platform Administrator</x:v>
      </x:c>
      <x:c r="G11" s="46" t="str">
        <x:v>Within 90 days</x:v>
      </x:c>
      <x:c r="H11" s="46" t="str">
        <x:v>Recovery test meets approved RTO/RPO</x:v>
      </x:c>
      <x:c r="I11" s="46" t="str">
        <x:v>Backup capability</x:v>
      </x:c>
      <x:c r="J11" s="46" t="str">
        <x:v>Open</x:v>
      </x:c>
    </x:row>
    <x:row r="12">
      <x:c r="A12" s="70" t="str">
        <x:v>A-011</x:v>
      </x:c>
      <x:c r="B12" s="46" t="str">
        <x:v>R-012</x:v>
      </x:c>
      <x:c r="C12" s="46" t="str">
        <x:v>Medium</x:v>
      </x:c>
      <x:c r="D12" s="46" t="str">
        <x:v>Minimise website-event fields, document purpose and retention, and assess re-identification risk before new data linkage.</x:v>
      </x:c>
      <x:c r="E12" s="46" t="str">
        <x:v>Privacy assessment and data-minimisation checklist</x:v>
      </x:c>
      <x:c r="F12" s="46" t="str">
        <x:v>Privacy Officer</x:v>
      </x:c>
      <x:c r="G12" s="46" t="str">
        <x:v>Before production</x:v>
      </x:c>
      <x:c r="H12" s="46" t="str">
        <x:v>Only necessary event fields are collected and linkage is approved</x:v>
      </x:c>
      <x:c r="I12" s="46" t="str">
        <x:v>Product and legal review</x:v>
      </x:c>
      <x:c r="J12" s="46" t="str">
        <x:v>In Progress</x:v>
      </x:c>
    </x:row>
    <x:row r="13">
      <x:c r="A13" s="70" t="str">
        <x:v>A-012</x:v>
      </x:c>
      <x:c r="B13" s="46" t="str">
        <x:v>R-002</x:v>
      </x:c>
      <x:c r="C13" s="46" t="str">
        <x:v>Medium</x:v>
      </x:c>
      <x:c r="D13" s="46" t="str">
        <x:v>Embed parser configuration, schema validation and reconciliation checks in a repeatable ingestion pipeline.</x:v>
      </x:c>
      <x:c r="E13" s="46" t="str">
        <x:v>Automated quality checks and rejected-record log</x:v>
      </x:c>
      <x:c r="F13" s="46" t="str">
        <x:v>Data Engineering Lead</x:v>
      </x:c>
      <x:c r="G13" s="46" t="str">
        <x:v>Within 30 days</x:v>
      </x:c>
      <x:c r="H13" s="46" t="str">
        <x:v>Parsing errors are detected before analytics</x:v>
      </x:c>
      <x:c r="I13" s="46" t="str">
        <x:v>Pipeline engineering</x:v>
      </x:c>
      <x:c r="J13" s="46" t="str">
        <x:v>Implemented</x:v>
      </x:c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C2:C50">
    <x:cfRule type="expression" dxfId="6" priority="1">
      <x:formula>C2="Critical"</x:formula>
    </x:cfRule>
    <x:cfRule type="expression" dxfId="7" priority="2">
      <x:formula>C2="High"</x:formula>
    </x:cfRule>
  </x:conditionalFormatting>
  <x:conditionalFormatting sqref="J2:J50">
    <x:cfRule type="expression" dxfId="8" priority="3">
      <x:formula>J2="Implemented"</x:formula>
    </x:cfRule>
  </x:conditionalFormatting>
  <x:dataValidations count="2">
    <x:dataValidation type="list" sqref="C2:C50">
      <x:formula1>"Critical,High,Medium,Low"</x:formula1>
    </x:dataValidation>
    <x:dataValidation type="list" sqref="J2:J50">
      <x:formula1>"Open,In Progress,Implemented,Monitoring,Closed"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0470a93862429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6" hidden="0" customWidth="1"/>
    <x:col min="4" max="4" width="48" hidden="0" customWidth="1"/>
    <x:col min="5" max="5" width="23" hidden="0" customWidth="1"/>
    <x:col min="6" max="6" width="48" hidden="0" customWidth="1"/>
    <x:col min="7" max="7" width="24" hidden="0" customWidth="1"/>
    <x:col min="8" max="8" width="22" hidden="0" customWidth="1"/>
    <x:col min="9" max="9" width="38" hidden="0" customWidth="1"/>
  </x:cols>
  <x:sheetData>
    <x:row r="1">
      <x:c r="A1" s="66" t="str">
        <x:v>Control ID</x:v>
      </x:c>
      <x:c r="B1" s="6" t="str">
        <x:v>Domain</x:v>
      </x:c>
      <x:c r="C1" s="6" t="str">
        <x:v>Control Objective</x:v>
      </x:c>
      <x:c r="D1" s="6" t="str">
        <x:v>Control Description</x:v>
      </x:c>
      <x:c r="E1" s="6" t="str">
        <x:v>Implementation Status</x:v>
      </x:c>
      <x:c r="F1" s="6" t="str">
        <x:v>Technical / Governance Evidence</x:v>
      </x:c>
      <x:c r="G1" s="6" t="str">
        <x:v>Owner</x:v>
      </x:c>
      <x:c r="H1" s="6" t="str">
        <x:v>Frequency</x:v>
      </x:c>
      <x:c r="I1" s="6" t="str">
        <x:v>Test Method</x:v>
      </x:c>
    </x:row>
    <x:row r="2">
      <x:c r="A2" s="70" t="str">
        <x:v>DSG-01</x:v>
      </x:c>
      <x:c r="B2" s="46" t="str">
        <x:v>Data Governance</x:v>
      </x:c>
      <x:c r="C2" s="46" t="str">
        <x:v>Approve and register data sources</x:v>
      </x:c>
      <x:c r="D2" s="46" t="str">
        <x:v>Only authorised data sources may enter the analytics environment; ownership and business purpose must be documented.</x:v>
      </x:c>
      <x:c r="E2" s="46" t="str">
        <x:v>Partially Implemented</x:v>
      </x:c>
      <x:c r="F2" s="46" t="str">
        <x:v>Trusted dataset selection; data inventory; source approval enhancement recommended</x:v>
      </x:c>
      <x:c r="G2" s="46" t="str">
        <x:v>Data Owner</x:v>
      </x:c>
      <x:c r="H2" s="46" t="str">
        <x:v>Annual and on change</x:v>
      </x:c>
      <x:c r="I2" s="46" t="str">
        <x:v>Review source register and sample approvals</x:v>
      </x:c>
    </x:row>
    <x:row r="3">
      <x:c r="A3" s="70" t="str">
        <x:v>DSG-02</x:v>
      </x:c>
      <x:c r="B3" s="46" t="str">
        <x:v>Data Integrity</x:v>
      </x:c>
      <x:c r="C3" s="46" t="str">
        <x:v>Validate schema and data types</x:v>
      </x:c>
      <x:c r="D3" s="46" t="str">
        <x:v>Validate fields, formats, data types and required values before analytics.</x:v>
      </x:c>
      <x:c r="E3" s="46" t="str">
        <x:v>Implemented</x:v>
      </x:c>
      <x:c r="F3" s="46" t="str">
        <x:v>Spark schema inspection, try-cast, null validation, quote/escape/multiline correction</x:v>
      </x:c>
      <x:c r="G3" s="46" t="str">
        <x:v>Data Engineering Lead</x:v>
      </x:c>
      <x:c r="H3" s="46" t="str">
        <x:v>Every ingestion</x:v>
      </x:c>
      <x:c r="I3" s="46" t="str">
        <x:v>Review validation output and rejected records</x:v>
      </x:c>
    </x:row>
    <x:row r="4">
      <x:c r="A4" s="70" t="str">
        <x:v>DSG-03</x:v>
      </x:c>
      <x:c r="B4" s="46" t="str">
        <x:v>Data Integrity</x:v>
      </x:c>
      <x:c r="C4" s="46" t="str">
        <x:v>Reconcile record counts</x:v>
      </x:c>
      <x:c r="D4" s="46" t="str">
        <x:v>Compare source, stored and retrieved counts to detect loss or duplication.</x:v>
      </x:c>
      <x:c r="E4" s="46" t="str">
        <x:v>Implemented</x:v>
      </x:c>
      <x:c r="F4" s="46" t="str">
        <x:v>Source and Parquet record-count verification</x:v>
      </x:c>
      <x:c r="G4" s="46" t="str">
        <x:v>Data Engineering Lead</x:v>
      </x:c>
      <x:c r="H4" s="46" t="str">
        <x:v>Every batch</x:v>
      </x:c>
      <x:c r="I4" s="46" t="str">
        <x:v>Reperform count reconciliation</x:v>
      </x:c>
    </x:row>
    <x:row r="5">
      <x:c r="A5" s="70" t="str">
        <x:v>DSG-04</x:v>
      </x:c>
      <x:c r="B5" s="46" t="str">
        <x:v>Classification</x:v>
      </x:c>
      <x:c r="C5" s="46" t="str">
        <x:v>Classify and label data assets</x:v>
      </x:c>
      <x:c r="D5" s="46" t="str">
        <x:v>Assign classifications based on sensitivity, business impact and privacy risk.</x:v>
      </x:c>
      <x:c r="E5" s="46" t="str">
        <x:v>Implemented</x:v>
      </x:c>
      <x:c r="F5" s="46" t="str">
        <x:v>Data Inventory and Classification Register</x:v>
      </x:c>
      <x:c r="G5" s="46" t="str">
        <x:v>Data Owner</x:v>
      </x:c>
      <x:c r="H5" s="46" t="str">
        <x:v>Annual and on change</x:v>
      </x:c>
      <x:c r="I5" s="46" t="str">
        <x:v>Review sample assets and labels</x:v>
      </x:c>
    </x:row>
    <x:row r="6">
      <x:c r="A6" s="70" t="str">
        <x:v>IAM-01</x:v>
      </x:c>
      <x:c r="B6" s="46" t="str">
        <x:v>Access Control</x:v>
      </x:c>
      <x:c r="C6" s="46" t="str">
        <x:v>Apply role-based access</x:v>
      </x:c>
      <x:c r="D6" s="46" t="str">
        <x:v>Grant access according to business role and approved responsibility.</x:v>
      </x:c>
      <x:c r="E6" s="46" t="str">
        <x:v>Partially Implemented</x:v>
      </x:c>
      <x:c r="F6" s="46" t="str">
        <x:v>Access Control Matrix; restricted storage; role design pending production enforcement</x:v>
      </x:c>
      <x:c r="G6" s="46" t="str">
        <x:v>Security Officer</x:v>
      </x:c>
      <x:c r="H6" s="46" t="str">
        <x:v>Quarterly</x:v>
      </x:c>
      <x:c r="I6" s="46" t="str">
        <x:v>Access review and entitlement sampling</x:v>
      </x:c>
    </x:row>
    <x:row r="7">
      <x:c r="A7" s="70" t="str">
        <x:v>IAM-02</x:v>
      </x:c>
      <x:c r="B7" s="46" t="str">
        <x:v>Access Control</x:v>
      </x:c>
      <x:c r="C7" s="46" t="str">
        <x:v>Enforce least privilege for service identities</x:v>
      </x:c>
      <x:c r="D7" s="46" t="str">
        <x:v>Application identities receive only the minimum database and storage permissions.</x:v>
      </x:c>
      <x:c r="E7" s="46" t="str">
        <x:v>Partially Implemented</x:v>
      </x:c>
      <x:c r="F7" s="46" t="str">
        <x:v>Separate MongoDB application user; privilege refinement action</x:v>
      </x:c>
      <x:c r="G7" s="46" t="str">
        <x:v>Database Administrator</x:v>
      </x:c>
      <x:c r="H7" s="46" t="str">
        <x:v>Quarterly and on change</x:v>
      </x:c>
      <x:c r="I7" s="46" t="str">
        <x:v>Review database roles and effective permissions</x:v>
      </x:c>
    </x:row>
    <x:row r="8">
      <x:c r="A8" s="70" t="str">
        <x:v>SEC-01</x:v>
      </x:c>
      <x:c r="B8" s="46" t="str">
        <x:v>Secret Management</x:v>
      </x:c>
      <x:c r="C8" s="46" t="str">
        <x:v>Protect credentials outside code</x:v>
      </x:c>
      <x:c r="D8" s="46" t="str">
        <x:v>Credentials and connection strings must be stored in an approved secret store and excluded from evidence.</x:v>
      </x:c>
      <x:c r="E8" s="46" t="str">
        <x:v>Implemented</x:v>
      </x:c>
      <x:c r="F8" s="46" t="str">
        <x:v>Colab Secrets; credential screenshots excluded; rotation action completed</x:v>
      </x:c>
      <x:c r="G8" s="46" t="str">
        <x:v>Platform Administrator</x:v>
      </x:c>
      <x:c r="H8" s="46" t="str">
        <x:v>Continuous / quarterly review</x:v>
      </x:c>
      <x:c r="I8" s="46" t="str">
        <x:v>Repository secret scan and secret-store review</x:v>
      </x:c>
    </x:row>
    <x:row r="9">
      <x:c r="A9" s="70" t="str">
        <x:v>SEC-02</x:v>
      </x:c>
      <x:c r="B9" s="46" t="str">
        <x:v>Cryptography</x:v>
      </x:c>
      <x:c r="C9" s="46" t="str">
        <x:v>Encrypt data in transit</x:v>
      </x:c>
      <x:c r="D9" s="46" t="str">
        <x:v>Use TLS for application, database and service communication.</x:v>
      </x:c>
      <x:c r="E9" s="46" t="str">
        <x:v>Implemented</x:v>
      </x:c>
      <x:c r="F9" s="46" t="str">
        <x:v>MongoDB TLS connection; HTTPS cloud services</x:v>
      </x:c>
      <x:c r="G9" s="46" t="str">
        <x:v>Platform Administrator</x:v>
      </x:c>
      <x:c r="H9" s="46" t="str">
        <x:v>Continuous</x:v>
      </x:c>
      <x:c r="I9" s="46" t="str">
        <x:v>Inspect connection settings and certificates</x:v>
      </x:c>
    </x:row>
    <x:row r="10">
      <x:c r="A10" s="70" t="str">
        <x:v>SEC-03</x:v>
      </x:c>
      <x:c r="B10" s="46" t="str">
        <x:v>Cryptography</x:v>
      </x:c>
      <x:c r="C10" s="46" t="str">
        <x:v>Encrypt sensitive data at rest</x:v>
      </x:c>
      <x:c r="D10" s="46" t="str">
        <x:v>Use platform encryption for databases, object storage, backups and restricted exports.</x:v>
      </x:c>
      <x:c r="E10" s="46" t="str">
        <x:v>Recommended</x:v>
      </x:c>
      <x:c r="F10" s="46" t="str">
        <x:v>Architecture requirement; production configuration not independently tested</x:v>
      </x:c>
      <x:c r="G10" s="46" t="str">
        <x:v>Platform Administrator</x:v>
      </x:c>
      <x:c r="H10" s="46" t="str">
        <x:v>Continuous</x:v>
      </x:c>
      <x:c r="I10" s="46" t="str">
        <x:v>Review encryption settings and key ownership</x:v>
      </x:c>
    </x:row>
    <x:row r="11">
      <x:c r="A11" s="70" t="str">
        <x:v>NET-01</x:v>
      </x:c>
      <x:c r="B11" s="46" t="str">
        <x:v>Network Security</x:v>
      </x:c>
      <x:c r="C11" s="46" t="str">
        <x:v>Restrict database network exposure</x:v>
      </x:c>
      <x:c r="D11" s="46" t="str">
        <x:v>Database access should be limited to approved networks, hosts or private endpoints.</x:v>
      </x:c>
      <x:c r="E11" s="46" t="str">
        <x:v>Partially Implemented</x:v>
      </x:c>
      <x:c r="F11" s="46" t="str">
        <x:v>Temporary 0.0.0.0/0 rule removed; production private access recommended</x:v>
      </x:c>
      <x:c r="G11" s="46" t="str">
        <x:v>Database Administrator</x:v>
      </x:c>
      <x:c r="H11" s="46" t="str">
        <x:v>Continuous</x:v>
      </x:c>
      <x:c r="I11" s="46" t="str">
        <x:v>Review network access list</x:v>
      </x:c>
    </x:row>
    <x:row r="12">
      <x:c r="A12" s="70" t="str">
        <x:v>LOG-01</x:v>
      </x:c>
      <x:c r="B12" s="46" t="str">
        <x:v>Monitoring</x:v>
      </x:c>
      <x:c r="C12" s="46" t="str">
        <x:v>Log access and administrative activity</x:v>
      </x:c>
      <x:c r="D12" s="46" t="str">
        <x:v>Record and review data access, authentication, configuration and security events.</x:v>
      </x:c>
      <x:c r="E12" s="46" t="str">
        <x:v>Recommended</x:v>
      </x:c>
      <x:c r="F12" s="46" t="str">
        <x:v>Execution evidence retained; centralised logging not implemented in prototype</x:v>
      </x:c>
      <x:c r="G12" s="46" t="str">
        <x:v>Security Operations Lead</x:v>
      </x:c>
      <x:c r="H12" s="46" t="str">
        <x:v>Continuous / monthly review</x:v>
      </x:c>
      <x:c r="I12" s="46" t="str">
        <x:v>Inspect log coverage and alert tests</x:v>
      </x:c>
    </x:row>
    <x:row r="13">
      <x:c r="A13" s="70" t="str">
        <x:v>APP-01</x:v>
      </x:c>
      <x:c r="B13" s="46" t="str">
        <x:v>Application Security</x:v>
      </x:c>
      <x:c r="C13" s="46" t="str">
        <x:v>Minimise and filter displayed data</x:v>
      </x:c>
      <x:c r="D13" s="46" t="str">
        <x:v>Dashboards and query applications display only fields required by the user's role and purpose.</x:v>
      </x:c>
      <x:c r="E13" s="46" t="str">
        <x:v>Partially Implemented</x:v>
      </x:c>
      <x:c r="F13" s="46" t="str">
        <x:v>Filtered dashboard and Gradio queries; authentication/field-level policy recommended</x:v>
      </x:c>
      <x:c r="G13" s="46" t="str">
        <x:v>Application Owner</x:v>
      </x:c>
      <x:c r="H13" s="46" t="str">
        <x:v>On release and quarterly</x:v>
      </x:c>
      <x:c r="I13" s="46" t="str">
        <x:v>Role-based functional test</x:v>
      </x:c>
    </x:row>
    <x:row r="14">
      <x:c r="A14" s="70" t="str">
        <x:v>APP-02</x:v>
      </x:c>
      <x:c r="B14" s="46" t="str">
        <x:v>Application Security</x:v>
      </x:c>
      <x:c r="C14" s="46" t="str">
        <x:v>Validate user input and queries</x:v>
      </x:c>
      <x:c r="D14" s="46" t="str">
        <x:v>Validate filter values and prevent unsafe query construction.</x:v>
      </x:c>
      <x:c r="E14" s="46" t="str">
        <x:v>Partially Implemented</x:v>
      </x:c>
      <x:c r="F14" s="46" t="str">
        <x:v>Controlled dropdowns and numeric threshold; production input validation recommended</x:v>
      </x:c>
      <x:c r="G14" s="46" t="str">
        <x:v>Application Owner</x:v>
      </x:c>
      <x:c r="H14" s="46" t="str">
        <x:v>Every release</x:v>
      </x:c>
      <x:c r="I14" s="46" t="str">
        <x:v>Negative testing and code review</x:v>
      </x:c>
    </x:row>
    <x:row r="15">
      <x:c r="A15" s="70" t="str">
        <x:v>PRV-01</x:v>
      </x:c>
      <x:c r="B15" s="46" t="str">
        <x:v>Privacy</x:v>
      </x:c>
      <x:c r="C15" s="46" t="str">
        <x:v>Apply data minimisation and purpose limitation</x:v>
      </x:c>
      <x:c r="D15" s="46" t="str">
        <x:v>Collect, use and display only data necessary for documented business purposes.</x:v>
      </x:c>
      <x:c r="E15" s="46" t="str">
        <x:v>Partially Implemented</x:v>
      </x:c>
      <x:c r="F15" s="46" t="str">
        <x:v>Simulated data, limited fields, privacy assessment and retention schedule</x:v>
      </x:c>
      <x:c r="G15" s="46" t="str">
        <x:v>Privacy Officer</x:v>
      </x:c>
      <x:c r="H15" s="46" t="str">
        <x:v>Annual and on change</x:v>
      </x:c>
      <x:c r="I15" s="46" t="str">
        <x:v>Review processing purpose and field inventory</x:v>
      </x:c>
    </x:row>
    <x:row r="16">
      <x:c r="A16" s="70" t="str">
        <x:v>RET-01</x:v>
      </x:c>
      <x:c r="B16" s="46" t="str">
        <x:v>Retention</x:v>
      </x:c>
      <x:c r="C16" s="46" t="str">
        <x:v>Retain and dispose of data according to policy</x:v>
      </x:c>
      <x:c r="D16" s="46" t="str">
        <x:v>Define retention triggers, archive rules and secure disposal evidence.</x:v>
      </x:c>
      <x:c r="E16" s="46" t="str">
        <x:v>Partially Implemented</x:v>
      </x:c>
      <x:c r="F16" s="46" t="str">
        <x:v>Illustrative retention schedule created; automation pending</x:v>
      </x:c>
      <x:c r="G16" s="46" t="str">
        <x:v>Data Owner</x:v>
      </x:c>
      <x:c r="H16" s="46" t="str">
        <x:v>Annual / monthly execution</x:v>
      </x:c>
      <x:c r="I16" s="46" t="str">
        <x:v>Sample expired records and disposal evidence</x:v>
      </x:c>
    </x:row>
    <x:row r="17">
      <x:c r="A17" s="70" t="str">
        <x:v>MLG-01</x:v>
      </x:c>
      <x:c r="B17" s="46" t="str">
        <x:v>Model Governance</x:v>
      </x:c>
      <x:c r="C17" s="46" t="str">
        <x:v>Validate model performance and limitations</x:v>
      </x:c>
      <x:c r="D17" s="46" t="str">
        <x:v>Measure performance, document assumptions and determine approved use before deployment.</x:v>
      </x:c>
      <x:c r="E17" s="46" t="str">
        <x:v>Implemented</x:v>
      </x:c>
      <x:c r="F17" s="46" t="str">
        <x:v>Training/test split, MAE, RMSE, R-squared and limitations documented</x:v>
      </x:c>
      <x:c r="G17" s="46" t="str">
        <x:v>Model Owner</x:v>
      </x:c>
      <x:c r="H17" s="46" t="str">
        <x:v>Before release and periodically</x:v>
      </x:c>
      <x:c r="I17" s="46" t="str">
        <x:v>Independent metric review and validation checklist</x:v>
      </x:c>
    </x:row>
    <x:row r="18">
      <x:c r="A18" s="70" t="str">
        <x:v>MLG-02</x:v>
      </x:c>
      <x:c r="B18" s="46" t="str">
        <x:v>Model Governance</x:v>
      </x:c>
      <x:c r="C18" s="46" t="str">
        <x:v>Require human oversight</x:v>
      </x:c>
      <x:c r="D18" s="46" t="str">
        <x:v>Model predictions must support, not replace, accountable business judgement unless separately approved.</x:v>
      </x:c>
      <x:c r="E18" s="46" t="str">
        <x:v>Implemented</x:v>
      </x:c>
      <x:c r="F18" s="46" t="str">
        <x:v>Responsible-use statement and prohibited sole-decision use</x:v>
      </x:c>
      <x:c r="G18" s="46" t="str">
        <x:v>Business Owner</x:v>
      </x:c>
      <x:c r="H18" s="46" t="str">
        <x:v>Continuous</x:v>
      </x:c>
      <x:c r="I18" s="46" t="str">
        <x:v>Review decisions and user guidance</x:v>
      </x:c>
    </x:row>
    <x:row r="19">
      <x:c r="A19" s="70" t="str">
        <x:v>BCM-01</x:v>
      </x:c>
      <x:c r="B19" s="46" t="str">
        <x:v>Resilience</x:v>
      </x:c>
      <x:c r="C19" s="46" t="str">
        <x:v>Maintain recoverable data and configurations</x:v>
      </x:c>
      <x:c r="D19" s="46" t="str">
        <x:v>Protect data, code and configurations through backup, replication and tested recovery.</x:v>
      </x:c>
      <x:c r="E19" s="46" t="str">
        <x:v>Recommended</x:v>
      </x:c>
      <x:c r="F19" s="46" t="str">
        <x:v>Parquet exports, Drive backup and architecture design; recovery test pending</x:v>
      </x:c>
      <x:c r="G19" s="46" t="str">
        <x:v>Platform Administrator</x:v>
      </x:c>
      <x:c r="H19" s="46" t="str">
        <x:v>According to backup schedule</x:v>
      </x:c>
      <x:c r="I19" s="46" t="str">
        <x:v>Restore test and RTO/RPO review</x:v>
      </x:c>
    </x:row>
    <x:row r="20">
      <x:c r="A20" s="70" t="str">
        <x:v>IR-01</x:v>
      </x:c>
      <x:c r="B20" s="46" t="str">
        <x:v>Incident Response</x:v>
      </x:c>
      <x:c r="C20" s="46" t="str">
        <x:v>Prepare for data-security incidents</x:v>
      </x:c>
      <x:c r="D20" s="46" t="str">
        <x:v>Define escalation, containment, evidence preservation, notification and lessons-learned activities.</x:v>
      </x:c>
      <x:c r="E20" s="46" t="str">
        <x:v>Recommended</x:v>
      </x:c>
      <x:c r="F20" s="46" t="str">
        <x:v>Incident-response recommendations to be completed in Phase 4</x:v>
      </x:c>
      <x:c r="G20" s="46" t="str">
        <x:v>Security Officer</x:v>
      </x:c>
      <x:c r="H20" s="46" t="str">
        <x:v>Annual and after incidents</x:v>
      </x:c>
      <x:c r="I20" s="46" t="str">
        <x:v>Tabletop exercise and plan review</x:v>
      </x:c>
    </x:row>
    <x:row r="21">
      <x:c r="A21" s="70" t="str">
        <x:v>TPRM-01</x:v>
      </x:c>
      <x:c r="B21" s="46" t="str">
        <x:v>Third-Party Risk</x:v>
      </x:c>
      <x:c r="C21" s="46" t="str">
        <x:v>Assess cloud and platform providers</x:v>
      </x:c>
      <x:c r="D21" s="46" t="str">
        <x:v>Evaluate service security, privacy, availability, data location, access and exit requirements.</x:v>
      </x:c>
      <x:c r="E21" s="46" t="str">
        <x:v>Recommended</x:v>
      </x:c>
      <x:c r="F21" s="46" t="str">
        <x:v>MongoDB Atlas, Google Colab/Drive and Posit Cloud identified as service dependencies</x:v>
      </x:c>
      <x:c r="G21" s="46" t="str">
        <x:v>Third-Party Risk Owner</x:v>
      </x:c>
      <x:c r="H21" s="46" t="str">
        <x:v>Annual and before onboarding</x:v>
      </x:c>
      <x:c r="I21" s="46" t="str">
        <x:v>Vendor review and contract/control evidence</x:v>
      </x:c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E2:E100">
    <x:cfRule type="expression" dxfId="9" priority="1">
      <x:formula>E2="Implemented"</x:formula>
    </x:cfRule>
    <x:cfRule type="expression" dxfId="10" priority="2">
      <x:formula>E2="Recommended"</x:formula>
    </x:cfRule>
  </x:conditionalFormatting>
  <x:dataValidations count="1">
    <x:dataValidation type="list" sqref="E2:E100">
      <x:formula1>"Implemented,Partially Implemented,Recommended,Not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14ffc680c0452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24" hidden="0" customWidth="1"/>
    <x:col min="7" max="7" width="20" hidden="0" customWidth="1"/>
    <x:col min="8" max="8" width="18" hidden="0" customWidth="1"/>
    <x:col min="9" max="9" width="20" hidden="0" customWidth="1"/>
    <x:col min="10" max="10" width="44" hidden="0" customWidth="1"/>
  </x:cols>
  <x:sheetData>
    <x:row r="1">
      <x:c r="A1" s="54" t="str">
        <x:v>Role-Based Access Control Matrix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5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56"/>
    </x:row>
    <x:row r="4">
      <x:c r="A4" s="66" t="str">
        <x:v>Data / System</x:v>
      </x:c>
      <x:c r="B4" s="6" t="str">
        <x:v>Data Owner</x:v>
      </x:c>
      <x:c r="C4" s="6" t="str">
        <x:v>Data Engineer</x:v>
      </x:c>
      <x:c r="D4" s="6" t="str">
        <x:v>Data Analyst</x:v>
      </x:c>
      <x:c r="E4" s="6" t="str">
        <x:v>DBA / Platform Admin</x:v>
      </x:c>
      <x:c r="F4" s="6" t="str">
        <x:v>GRC / Security Analyst</x:v>
      </x:c>
      <x:c r="G4" s="6" t="str">
        <x:v>Business Manager</x:v>
      </x:c>
      <x:c r="H4" s="6" t="str">
        <x:v>Internal Auditor</x:v>
      </x:c>
      <x:c r="I4" s="6" t="str">
        <x:v>Application Service</x:v>
      </x:c>
      <x:c r="J4" s="6" t="str">
        <x:v>Notes</x:v>
      </x:c>
    </x:row>
    <x:row r="5">
      <x:c r="A5" s="70" t="str">
        <x:v>Raw transaction sources</x:v>
      </x:c>
      <x:c r="B5" s="46" t="str">
        <x:v>Approve / R</x:v>
      </x:c>
      <x:c r="C5" s="46" t="str">
        <x:v>RW</x:v>
      </x:c>
      <x:c r="D5" s="46" t="str">
        <x:v>R</x:v>
      </x:c>
      <x:c r="E5" s="46" t="str">
        <x:v>Admin (platform only)</x:v>
      </x:c>
      <x:c r="F5" s="46" t="str">
        <x:v>R metadata / logs</x:v>
      </x:c>
      <x:c r="G5" s="46" t="str">
        <x:v>No</x:v>
      </x:c>
      <x:c r="H5" s="46" t="str">
        <x:v>R evidence</x:v>
      </x:c>
      <x:c r="I5" s="46" t="str">
        <x:v>No</x:v>
      </x:c>
      <x:c r="J5" s="46" t="str">
        <x:v>Source changes require owner approval.</x:v>
      </x:c>
    </x:row>
    <x:row r="6">
      <x:c r="A6" s="70" t="str">
        <x:v>Website-event sources</x:v>
      </x:c>
      <x:c r="B6" s="46" t="str">
        <x:v>Approve / R</x:v>
      </x:c>
      <x:c r="C6" s="46" t="str">
        <x:v>RW</x:v>
      </x:c>
      <x:c r="D6" s="46" t="str">
        <x:v>R</x:v>
      </x:c>
      <x:c r="E6" s="46" t="str">
        <x:v>Admin (platform only)</x:v>
      </x:c>
      <x:c r="F6" s="46" t="str">
        <x:v>R metadata / logs</x:v>
      </x:c>
      <x:c r="G6" s="46" t="str">
        <x:v>No</x:v>
      </x:c>
      <x:c r="H6" s="46" t="str">
        <x:v>R evidence</x:v>
      </x:c>
      <x:c r="I6" s="46" t="str">
        <x:v>No</x:v>
      </x:c>
      <x:c r="J6" s="46" t="str">
        <x:v>Collection purpose and fields require privacy review.</x:v>
      </x:c>
    </x:row>
    <x:row r="7">
      <x:c r="A7" s="70" t="str">
        <x:v>Cleaned analytical dataset</x:v>
      </x:c>
      <x:c r="B7" s="46" t="str">
        <x:v>Approve / R</x:v>
      </x:c>
      <x:c r="C7" s="46" t="str">
        <x:v>RW</x:v>
      </x:c>
      <x:c r="D7" s="46" t="str">
        <x:v>R</x:v>
      </x:c>
      <x:c r="E7" s="46" t="str">
        <x:v>Admin</x:v>
      </x:c>
      <x:c r="F7" s="46" t="str">
        <x:v>R / control test</x:v>
      </x:c>
      <x:c r="G7" s="46" t="str">
        <x:v>R summary only</x:v>
      </x:c>
      <x:c r="H7" s="46" t="str">
        <x:v>R evidence</x:v>
      </x:c>
      <x:c r="I7" s="46" t="str">
        <x:v>R if required</x:v>
      </x:c>
      <x:c r="J7" s="46" t="str">
        <x:v>Direct identifiers should be removed or masked.</x:v>
      </x:c>
    </x:row>
    <x:row r="8">
      <x:c r="A8" s="70" t="str">
        <x:v>Analytical summaries</x:v>
      </x:c>
      <x:c r="B8" s="46" t="str">
        <x:v>Approve / R</x:v>
      </x:c>
      <x:c r="C8" s="46" t="str">
        <x:v>RW</x:v>
      </x:c>
      <x:c r="D8" s="46" t="str">
        <x:v>RW</x:v>
      </x:c>
      <x:c r="E8" s="46" t="str">
        <x:v>Admin</x:v>
      </x:c>
      <x:c r="F8" s="46" t="str">
        <x:v>R</x:v>
      </x:c>
      <x:c r="G8" s="46" t="str">
        <x:v>R</x:v>
      </x:c>
      <x:c r="H8" s="46" t="str">
        <x:v>R</x:v>
      </x:c>
      <x:c r="I8" s="46" t="str">
        <x:v>R</x:v>
      </x:c>
      <x:c r="J8" s="46" t="str">
        <x:v>Commercial sensitivity remains even when aggregated.</x:v>
      </x:c>
    </x:row>
    <x:row r="9">
      <x:c r="A9" s="70" t="str">
        <x:v>Model training data</x:v>
      </x:c>
      <x:c r="B9" s="46" t="str">
        <x:v>Approve / R</x:v>
      </x:c>
      <x:c r="C9" s="46" t="str">
        <x:v>RW pipeline</x:v>
      </x:c>
      <x:c r="D9" s="46" t="str">
        <x:v>R</x:v>
      </x:c>
      <x:c r="E9" s="46" t="str">
        <x:v>Admin</x:v>
      </x:c>
      <x:c r="F9" s="46" t="str">
        <x:v>R governance</x:v>
      </x:c>
      <x:c r="G9" s="46" t="str">
        <x:v>No</x:v>
      </x:c>
      <x:c r="H9" s="46" t="str">
        <x:v>R evidence</x:v>
      </x:c>
      <x:c r="I9" s="46" t="str">
        <x:v>No</x:v>
      </x:c>
      <x:c r="J9" s="46" t="str">
        <x:v>Model Owner approves use.</x:v>
      </x:c>
    </x:row>
    <x:row r="10">
      <x:c r="A10" s="70" t="str">
        <x:v>Model code and metrics</x:v>
      </x:c>
      <x:c r="B10" s="46" t="str">
        <x:v>Approve</x:v>
      </x:c>
      <x:c r="C10" s="46" t="str">
        <x:v>RW</x:v>
      </x:c>
      <x:c r="D10" s="46" t="str">
        <x:v>R</x:v>
      </x:c>
      <x:c r="E10" s="46" t="str">
        <x:v>Admin</x:v>
      </x:c>
      <x:c r="F10" s="46" t="str">
        <x:v>R governance</x:v>
      </x:c>
      <x:c r="G10" s="46" t="str">
        <x:v>R approved metrics</x:v>
      </x:c>
      <x:c r="H10" s="46" t="str">
        <x:v>R evidence</x:v>
      </x:c>
      <x:c r="I10" s="46" t="str">
        <x:v>Execute only</x:v>
      </x:c>
      <x:c r="J10" s="46" t="str">
        <x:v>Changes require version control and review.</x:v>
      </x:c>
    </x:row>
    <x:row r="11">
      <x:c r="A11" s="70" t="str">
        <x:v>MongoDB analytics collection</x:v>
      </x:c>
      <x:c r="B11" s="46" t="str">
        <x:v>Approve</x:v>
      </x:c>
      <x:c r="C11" s="46" t="str">
        <x:v>RW pipeline</x:v>
      </x:c>
      <x:c r="D11" s="46" t="str">
        <x:v>R</x:v>
      </x:c>
      <x:c r="E11" s="46" t="str">
        <x:v>Admin</x:v>
      </x:c>
      <x:c r="F11" s="46" t="str">
        <x:v>R logs / config</x:v>
      </x:c>
      <x:c r="G11" s="46" t="str">
        <x:v>R through app</x:v>
      </x:c>
      <x:c r="H11" s="46" t="str">
        <x:v>R evidence</x:v>
      </x:c>
      <x:c r="I11" s="46" t="str">
        <x:v>RW limited</x:v>
      </x:c>
      <x:c r="J11" s="46" t="str">
        <x:v>Service account should not have administrative privileges.</x:v>
      </x:c>
    </x:row>
    <x:row r="12">
      <x:c r="A12" s="70" t="str">
        <x:v>Dashboards / query application</x:v>
      </x:c>
      <x:c r="B12" s="46" t="str">
        <x:v>Approve publication</x:v>
      </x:c>
      <x:c r="C12" s="46" t="str">
        <x:v>Support</x:v>
      </x:c>
      <x:c r="D12" s="46" t="str">
        <x:v>R</x:v>
      </x:c>
      <x:c r="E12" s="46" t="str">
        <x:v>Admin hosting</x:v>
      </x:c>
      <x:c r="F12" s="46" t="str">
        <x:v>R security test</x:v>
      </x:c>
      <x:c r="G12" s="46" t="str">
        <x:v>R authorised view</x:v>
      </x:c>
      <x:c r="H12" s="46" t="str">
        <x:v>R evidence</x:v>
      </x:c>
      <x:c r="I12" s="46" t="str">
        <x:v>Execute</x:v>
      </x:c>
      <x:c r="J12" s="46" t="str">
        <x:v>Role-aware access required in production.</x:v>
      </x:c>
    </x:row>
    <x:row r="13">
      <x:c r="A13" s="70" t="str">
        <x:v>Credentials and secrets</x:v>
      </x:c>
      <x:c r="B13" s="46" t="str">
        <x:v>No</x:v>
      </x:c>
      <x:c r="C13" s="46" t="str">
        <x:v>Use only</x:v>
      </x:c>
      <x:c r="D13" s="46" t="str">
        <x:v>No</x:v>
      </x:c>
      <x:c r="E13" s="46" t="str">
        <x:v>Admin</x:v>
      </x:c>
      <x:c r="F13" s="46" t="str">
        <x:v>Review metadata / rotation</x:v>
      </x:c>
      <x:c r="G13" s="46" t="str">
        <x:v>No</x:v>
      </x:c>
      <x:c r="H13" s="46" t="str">
        <x:v>No secret value</x:v>
      </x:c>
      <x:c r="I13" s="46" t="str">
        <x:v>Use only</x:v>
      </x:c>
      <x:c r="J13" s="46" t="str">
        <x:v>Secret values are restricted.</x:v>
      </x:c>
    </x:row>
    <x:row r="14">
      <x:c r="A14" s="70" t="str">
        <x:v>Logs and evidence</x:v>
      </x:c>
      <x:c r="B14" s="46" t="str">
        <x:v>Approve retention</x:v>
      </x:c>
      <x:c r="C14" s="46" t="str">
        <x:v>Create technical logs</x:v>
      </x:c>
      <x:c r="D14" s="46" t="str">
        <x:v>R relevant logs</x:v>
      </x:c>
      <x:c r="E14" s="46" t="str">
        <x:v>Admin platform logs</x:v>
      </x:c>
      <x:c r="F14" s="46" t="str">
        <x:v>RW / investigate</x:v>
      </x:c>
      <x:c r="G14" s="46" t="str">
        <x:v>No</x:v>
      </x:c>
      <x:c r="H14" s="46" t="str">
        <x:v>R</x:v>
      </x:c>
      <x:c r="I14" s="46" t="str">
        <x:v>Create app logs</x:v>
      </x:c>
      <x:c r="J14" s="46" t="str">
        <x:v>Public portfolio receives sanitised subset only.</x:v>
      </x:c>
    </x:row>
    <x:row r="15">
      <x:c r="A15" s="70" t="str">
        <x:v>Architecture / configuration</x:v>
      </x:c>
      <x:c r="B15" s="46" t="str">
        <x:v>Approve</x:v>
      </x:c>
      <x:c r="C15" s="46" t="str">
        <x:v>RW technical</x:v>
      </x:c>
      <x:c r="D15" s="46" t="str">
        <x:v>R</x:v>
      </x:c>
      <x:c r="E15" s="46" t="str">
        <x:v>RW platform</x:v>
      </x:c>
      <x:c r="F15" s="46" t="str">
        <x:v>RW security</x:v>
      </x:c>
      <x:c r="G15" s="46" t="str">
        <x:v>R summary</x:v>
      </x:c>
      <x:c r="H15" s="46" t="str">
        <x:v>R</x:v>
      </x:c>
      <x:c r="I15" s="46" t="str">
        <x:v>No</x:v>
      </x:c>
      <x:c r="J15" s="46" t="str">
        <x:v>Version and change control required.</x:v>
      </x:c>
    </x:row>
    <x:row r="16">
      <x:c r="A16" s="56"/>
    </x:row>
    <x:row r="17">
      <x:c r="A17" s="66" t="str">
        <x:v>Legend</x:v>
      </x:c>
      <x:c r="B17" s="6" t="str">
        <x:v>A / Approve</x:v>
      </x:c>
      <x:c r="C17" s="6" t="str">
        <x:v>R / Read</x:v>
      </x:c>
      <x:c r="D17" s="6" t="str">
        <x:v>RW / Read-Write</x:v>
      </x:c>
      <x:c r="E17" s="6" t="str">
        <x:v>Admin</x:v>
      </x:c>
      <x:c r="F17" s="6" t="str">
        <x:v>Use only</x:v>
      </x:c>
      <x:c r="G17" s="6" t="str">
        <x:v>No</x:v>
      </x:c>
      <x:c r="H17" s="6" t="str">
        <x:v>Execute</x:v>
      </x:c>
      <x:c r="I17" s="6" t="str"/>
      <x:c r="J17" s="6" t="str"/>
    </x:row>
    <x:row r="18">
      <x:c r="A18" s="67" t="str">
        <x:v>Principle</x:v>
      </x:c>
      <x:c r="B18" s="46" t="str">
        <x:v>Access is granted only for an approved business purpose and is reviewed periodically.</x:v>
      </x:c>
      <x:c r="C18" s="46" t="str"/>
      <x:c r="D18" s="46" t="str"/>
      <x:c r="E18" s="46" t="str"/>
      <x:c r="F18" s="46" t="str"/>
      <x:c r="G18" s="46" t="str"/>
      <x:c r="H18" s="46" t="str"/>
      <x:c r="I18" s="46" t="str"/>
      <x:c r="J18" s="46" t="str"/>
    </x:row>
    <x:row r="19">
      <x:c r="A19" s="67" t="str">
        <x:v>Exception</x:v>
      </x:c>
      <x:c r="B19" s="46" t="str">
        <x:v>Temporary elevated access must be time-bound, approved, logged and removed after use.</x:v>
      </x:c>
      <x:c r="C19" s="46" t="str"/>
      <x:c r="D19" s="46" t="str"/>
      <x:c r="E19" s="46" t="str"/>
      <x:c r="F19" s="46" t="str"/>
      <x:c r="G19" s="46" t="str"/>
      <x:c r="H19" s="46" t="str"/>
      <x:c r="I19" s="46" t="str"/>
      <x:c r="J19" s="46" t="str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mergeCells>
    <x:mergeCell ref="A1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30" hidden="0" customWidth="1"/>
    <x:col min="5" max="5" width="34" hidden="0" customWidth="1"/>
    <x:col min="6" max="6" width="42" hidden="0" customWidth="1"/>
    <x:col min="7" max="7" width="24" hidden="0" customWidth="1"/>
    <x:col min="8" max="8" width="30" hidden="0" customWidth="1"/>
    <x:col min="9" max="9" width="28" hidden="0" customWidth="1"/>
    <x:col min="10" max="10" width="38" hidden="0" customWidth="1"/>
  </x:cols>
  <x:sheetData>
    <x:row r="1">
      <x:c r="A1" s="66" t="str">
        <x:v>Asset ID</x:v>
      </x:c>
      <x:c r="B1" s="6" t="str">
        <x:v>Data Asset</x:v>
      </x:c>
      <x:c r="C1" s="6" t="str">
        <x:v>Retention Period</x:v>
      </x:c>
      <x:c r="D1" s="6" t="str">
        <x:v>Retention Trigger</x:v>
      </x:c>
      <x:c r="E1" s="6" t="str">
        <x:v>Archive Requirement</x:v>
      </x:c>
      <x:c r="F1" s="6" t="str">
        <x:v>Secure Disposal Method</x:v>
      </x:c>
      <x:c r="G1" s="6" t="str">
        <x:v>Owner</x:v>
      </x:c>
      <x:c r="H1" s="6" t="str">
        <x:v>Approval / Review</x:v>
      </x:c>
      <x:c r="I1" s="6" t="str">
        <x:v>Exception Handling</x:v>
      </x:c>
      <x:c r="J1" s="6" t="str">
        <x:v>Notes</x:v>
      </x:c>
    </x:row>
    <x:row r="2">
      <x:c r="A2" s="70" t="str">
        <x:v>D-001</x:v>
      </x:c>
      <x:c r="B2" s="46" t="str">
        <x:v>Retail transaction source</x:v>
      </x:c>
      <x:c r="C2" s="46" t="str">
        <x:v>7 years (illustrative)</x:v>
      </x:c>
      <x:c r="D2" s="46" t="str">
        <x:v>End of financial year / transaction date</x:v>
      </x:c>
      <x:c r="E2" s="46" t="str">
        <x:v>Archive if legally or commercially required</x:v>
      </x:c>
      <x:c r="F2" s="46" t="str">
        <x:v>Verified deletion from active storage and expired backups according to backup cycle</x:v>
      </x:c>
      <x:c r="G2" s="46" t="str">
        <x:v>Data Owner</x:v>
      </x:c>
      <x:c r="H2" s="46" t="str">
        <x:v>Legal and Finance approval; annual review</x:v>
      </x:c>
      <x:c r="I2" s="46" t="str">
        <x:v>Legal hold suspends deletion</x:v>
      </x:c>
      <x:c r="J2" s="46" t="str">
        <x:v>Final period depends on applicable law and business requirements.</x:v>
      </x:c>
    </x:row>
    <x:row r="3">
      <x:c r="A3" s="70" t="str">
        <x:v>D-002</x:v>
      </x:c>
      <x:c r="B3" s="46" t="str">
        <x:v>Website behaviour events</x:v>
      </x:c>
      <x:c r="C3" s="46" t="str">
        <x:v>12 months</x:v>
      </x:c>
      <x:c r="D3" s="46" t="str">
        <x:v>Event timestamp</x:v>
      </x:c>
      <x:c r="E3" s="46" t="str">
        <x:v>Aggregate or anonymise before longer retention</x:v>
      </x:c>
      <x:c r="F3" s="46" t="str">
        <x:v>Delete event records and identifiers; validate deletion</x:v>
      </x:c>
      <x:c r="G3" s="46" t="str">
        <x:v>Digital Commerce Director</x:v>
      </x:c>
      <x:c r="H3" s="46" t="str">
        <x:v>Privacy review; annual</x:v>
      </x:c>
      <x:c r="I3" s="46" t="str">
        <x:v>Approved research or security investigation</x:v>
      </x:c>
      <x:c r="J3" s="46" t="str">
        <x:v>Minimise identifiers and avoid indefinite behavioural histories.</x:v>
      </x:c>
    </x:row>
    <x:row r="4">
      <x:c r="A4" s="70" t="str">
        <x:v>D-003</x:v>
      </x:c>
      <x:c r="B4" s="46" t="str">
        <x:v>Cleaned analytical sales dataset</x:v>
      </x:c>
      <x:c r="C4" s="46" t="str">
        <x:v>24 months</x:v>
      </x:c>
      <x:c r="D4" s="46" t="str">
        <x:v>Dataset version superseded</x:v>
      </x:c>
      <x:c r="E4" s="46" t="str">
        <x:v>Archive only approved baseline versions</x:v>
      </x:c>
      <x:c r="F4" s="46" t="str">
        <x:v>Delete active copies, temporary files and expired backups</x:v>
      </x:c>
      <x:c r="G4" s="46" t="str">
        <x:v>Head of Data</x:v>
      </x:c>
      <x:c r="H4" s="46" t="str">
        <x:v>Data Owner approval; annual</x:v>
      </x:c>
      <x:c r="I4" s="46" t="str">
        <x:v>Legal hold or validated model dependency</x:v>
      </x:c>
      <x:c r="J4" s="46" t="str">
        <x:v>Derived data inherits source restrictions.</x:v>
      </x:c>
    </x:row>
    <x:row r="5">
      <x:c r="A5" s="70" t="str">
        <x:v>D-004</x:v>
      </x:c>
      <x:c r="B5" s="46" t="str">
        <x:v>Analytical summaries</x:v>
      </x:c>
      <x:c r="C5" s="46" t="str">
        <x:v>36 months</x:v>
      </x:c>
      <x:c r="D5" s="46" t="str">
        <x:v>Report or period close</x:v>
      </x:c>
      <x:c r="E5" s="46" t="str">
        <x:v>Archive approved reports</x:v>
      </x:c>
      <x:c r="F5" s="46" t="str">
        <x:v>Delete obsolete drafts and superseded exports</x:v>
      </x:c>
      <x:c r="G5" s="46" t="str">
        <x:v>BI Manager</x:v>
      </x:c>
      <x:c r="H5" s="46" t="str">
        <x:v>Business owner review</x:v>
      </x:c>
      <x:c r="I5" s="46" t="str">
        <x:v>Regulatory or audit requirement</x:v>
      </x:c>
      <x:c r="J5" s="46" t="str">
        <x:v>Aggregated data may be retained longer when risk is low.</x:v>
      </x:c>
    </x:row>
    <x:row r="6">
      <x:c r="A6" s="70" t="str">
        <x:v>D-005</x:v>
      </x:c>
      <x:c r="B6" s="46" t="str">
        <x:v>Model training dataset</x:v>
      </x:c>
      <x:c r="C6" s="46" t="str">
        <x:v>Model life + 12 months</x:v>
      </x:c>
      <x:c r="D6" s="46" t="str">
        <x:v>Model retirement or data refresh</x:v>
      </x:c>
      <x:c r="E6" s="46" t="str">
        <x:v>Archive final approved training version</x:v>
      </x:c>
      <x:c r="F6" s="46" t="str">
        <x:v>Securely delete working copies and temporary extracts</x:v>
      </x:c>
      <x:c r="G6" s="46" t="str">
        <x:v>Model Owner</x:v>
      </x:c>
      <x:c r="H6" s="46" t="str">
        <x:v>Model governance approval</x:v>
      </x:c>
      <x:c r="I6" s="46" t="str">
        <x:v>Investigation or reproducibility hold</x:v>
      </x:c>
      <x:c r="J6" s="46" t="str">
        <x:v>Record lineage and version.</x:v>
      </x:c>
    </x:row>
    <x:row r="7">
      <x:c r="A7" s="70" t="str">
        <x:v>D-006</x:v>
      </x:c>
      <x:c r="B7" s="46" t="str">
        <x:v>Predictions and metrics</x:v>
      </x:c>
      <x:c r="C7" s="46" t="str">
        <x:v>12 months</x:v>
      </x:c>
      <x:c r="D7" s="46" t="str">
        <x:v>Prediction date / evaluation cycle</x:v>
      </x:c>
      <x:c r="E7" s="46" t="str">
        <x:v>Keep approved validation report</x:v>
      </x:c>
      <x:c r="F7" s="46" t="str">
        <x:v>Delete row-level predictions and obsolete metrics</x:v>
      </x:c>
      <x:c r="G7" s="46" t="str">
        <x:v>Model Owner</x:v>
      </x:c>
      <x:c r="H7" s="46" t="str">
        <x:v>Quarterly model review</x:v>
      </x:c>
      <x:c r="I7" s="46" t="str">
        <x:v>Incident or validation investigation</x:v>
      </x:c>
      <x:c r="J7" s="46" t="str">
        <x:v>Predictions should not become permanent profiles.</x:v>
      </x:c>
    </x:row>
    <x:row r="8">
      <x:c r="A8" s="70" t="str">
        <x:v>D-007</x:v>
      </x:c>
      <x:c r="B8" s="46" t="str">
        <x:v>MongoDB analytical records</x:v>
      </x:c>
      <x:c r="C8" s="46" t="str">
        <x:v>36 months</x:v>
      </x:c>
      <x:c r="D8" s="46" t="str">
        <x:v>Record creation / superseded version</x:v>
      </x:c>
      <x:c r="E8" s="46" t="str">
        <x:v>Snapshot only if required for audit or recovery</x:v>
      </x:c>
      <x:c r="F8" s="46" t="str">
        <x:v>Delete expired documents and verify backup expiry</x:v>
      </x:c>
      <x:c r="G8" s="46" t="str">
        <x:v>Head of Data</x:v>
      </x:c>
      <x:c r="H8" s="46" t="str">
        <x:v>Quarterly owner review</x:v>
      </x:c>
      <x:c r="I8" s="46" t="str">
        <x:v>Legal hold</x:v>
      </x:c>
      <x:c r="J8" s="46" t="str">
        <x:v>Indexes and replicas must follow same lifecycle.</x:v>
      </x:c>
    </x:row>
    <x:row r="9">
      <x:c r="A9" s="70" t="str">
        <x:v>D-008</x:v>
      </x:c>
      <x:c r="B9" s="46" t="str">
        <x:v>Dashboard views</x:v>
      </x:c>
      <x:c r="C9" s="46" t="str">
        <x:v>No separate retention</x:v>
      </x:c>
      <x:c r="D9" s="46" t="str">
        <x:v>Session end</x:v>
      </x:c>
      <x:c r="E9" s="46" t="str">
        <x:v>None</x:v>
      </x:c>
      <x:c r="F9" s="46" t="str">
        <x:v>Do not persist unnecessary exports or cached sensitive views</x:v>
      </x:c>
      <x:c r="G9" s="46" t="str">
        <x:v>Application Owner</x:v>
      </x:c>
      <x:c r="H9" s="46" t="str">
        <x:v>Release review</x:v>
      </x:c>
      <x:c r="I9" s="46" t="str">
        <x:v>Approved report export</x:v>
      </x:c>
      <x:c r="J9" s="46" t="str">
        <x:v>Exported reports follow the underlying data retention.</x:v>
      </x:c>
    </x:row>
    <x:row r="10">
      <x:c r="A10" s="70" t="str">
        <x:v>D-009</x:v>
      </x:c>
      <x:c r="B10" s="46" t="str">
        <x:v>Credentials and secrets</x:v>
      </x:c>
      <x:c r="C10" s="46" t="str">
        <x:v>Until rotated or revoked</x:v>
      </x:c>
      <x:c r="D10" s="46" t="str">
        <x:v>Role change, suspected compromise, expiry or scheduled rotation</x:v>
      </x:c>
      <x:c r="E10" s="46" t="str">
        <x:v>No archive of usable secrets</x:v>
      </x:c>
      <x:c r="F10" s="46" t="str">
        <x:v>Revoke, rotate and delete obsolete values securely</x:v>
      </x:c>
      <x:c r="G10" s="46" t="str">
        <x:v>Security Officer</x:v>
      </x:c>
      <x:c r="H10" s="46" t="str">
        <x:v>Quarterly access review</x:v>
      </x:c>
      <x:c r="I10" s="46" t="str">
        <x:v>Break-glass retention under strict control</x:v>
      </x:c>
      <x:c r="J10" s="46" t="str">
        <x:v>Never include secret values in tickets, screenshots or repositories.</x:v>
      </x:c>
    </x:row>
    <x:row r="11">
      <x:c r="A11" s="70" t="str">
        <x:v>D-010</x:v>
      </x:c>
      <x:c r="B11" s="46" t="str">
        <x:v>Logs and evidence</x:v>
      </x:c>
      <x:c r="C11" s="46" t="str">
        <x:v>24 months</x:v>
      </x:c>
      <x:c r="D11" s="46" t="str">
        <x:v>Log or evidence creation</x:v>
      </x:c>
      <x:c r="E11" s="46" t="str">
        <x:v>Archive evidence required for audit</x:v>
      </x:c>
      <x:c r="F11" s="46" t="str">
        <x:v>Secure deletion with disposal record</x:v>
      </x:c>
      <x:c r="G11" s="46" t="str">
        <x:v>GRC Analyst</x:v>
      </x:c>
      <x:c r="H11" s="46" t="str">
        <x:v>Annual audit review</x:v>
      </x:c>
      <x:c r="I11" s="46" t="str">
        <x:v>Incident/legal hold</x:v>
      </x:c>
      <x:c r="J11" s="46" t="str">
        <x:v>Public portfolio subset must be sanitised.</x:v>
      </x:c>
    </x:row>
    <x:row r="12">
      <x:c r="A12" s="70" t="str">
        <x:v>D-011</x:v>
      </x:c>
      <x:c r="B12" s="46" t="str">
        <x:v>Architecture and configuration docs</x:v>
      </x:c>
      <x:c r="C12" s="46" t="str">
        <x:v>Current + 3 years</x:v>
      </x:c>
      <x:c r="D12" s="46" t="str">
        <x:v>Superseded design or system retirement</x:v>
      </x:c>
      <x:c r="E12" s="46" t="str">
        <x:v>Archive approved versions</x:v>
      </x:c>
      <x:c r="F12" s="46" t="str">
        <x:v>Delete obsolete drafts; retain change history</x:v>
      </x:c>
      <x:c r="G12" s="46" t="str">
        <x:v>Security Architect</x:v>
      </x:c>
      <x:c r="H12" s="46" t="str">
        <x:v>Annual architecture review</x:v>
      </x:c>
      <x:c r="I12" s="46" t="str">
        <x:v>Investigation/legal hold</x:v>
      </x:c>
      <x:c r="J12" s="46" t="str">
        <x:v>Clearly mark obsolete versions.</x:v>
      </x:c>
    </x:row>
    <x:row r="13">
      <x:c r="A13" s="56"/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pageMargins left="0.7" right="0.7" top="0.75" bottom="0.75" header="0.3" footer="0.3"/>
  <x:tableParts count="1">
    <x:tablePart xmlns:r="http://schemas.openxmlformats.org/officeDocument/2006/relationships" r:id="R86bee9b89c4d4c9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5" hidden="0" customWidth="1"/>
    <x:col min="3" max="3" width="34" hidden="0" customWidth="1"/>
    <x:col min="4" max="4" width="45" hidden="0" customWidth="1"/>
    <x:col min="5" max="5" width="42" hidden="0" customWidth="1"/>
    <x:col min="6" max="6" width="45" hidden="0" customWidth="1"/>
    <x:col min="7" max="7" width="16" hidden="0" customWidth="1"/>
    <x:col min="8" max="8" width="48" hidden="0" customWidth="1"/>
    <x:col min="9" max="9" width="24" hidden="0" customWidth="1"/>
  </x:cols>
  <x:sheetData>
    <x:row r="1">
      <x:c r="A1" s="66" t="str">
        <x:v>Processing Activity</x:v>
      </x:c>
      <x:c r="B1" s="6" t="str">
        <x:v>Data Categories</x:v>
      </x:c>
      <x:c r="C1" s="6" t="str">
        <x:v>Purpose</x:v>
      </x:c>
      <x:c r="D1" s="6" t="str">
        <x:v>Necessity / Proportionality</x:v>
      </x:c>
      <x:c r="E1" s="6" t="str">
        <x:v>Key Privacy Risk</x:v>
      </x:c>
      <x:c r="F1" s="6" t="str">
        <x:v>Current Safeguards</x:v>
      </x:c>
      <x:c r="G1" s="6" t="str">
        <x:v>Residual Risk</x:v>
      </x:c>
      <x:c r="H1" s="6" t="str">
        <x:v>Required Action</x:v>
      </x:c>
      <x:c r="I1" s="6" t="str">
        <x:v>Owner</x:v>
      </x:c>
    </x:row>
    <x:row r="2">
      <x:c r="A2" s="70" t="str">
        <x:v>Retail transaction analytics</x:v>
      </x:c>
      <x:c r="B2" s="46" t="str">
        <x:v>Order, customer, shipping, product, sales, discount and profit fields</x:v>
      </x:c>
      <x:c r="C2" s="46" t="str">
        <x:v>Profitability and operational analysis</x:v>
      </x:c>
      <x:c r="D2" s="46" t="str">
        <x:v>Necessary at transaction level for controlled analysis; direct identifiers should be minimised for most analytical users.</x:v>
      </x:c>
      <x:c r="E2" s="46" t="str">
        <x:v>Customer data used beyond original purpose or exposed to unauthorised analysts.</x:v>
      </x:c>
      <x:c r="F2" s="46" t="str">
        <x:v>Restricted storage, schema validation, role matrix, aggregated reporting.</x:v>
      </x:c>
      <x:c r="G2" s="46" t="str">
        <x:v>Medium</x:v>
      </x:c>
      <x:c r="H2" s="46" t="str">
        <x:v>Define approved fields by role; mask or remove direct identifiers in analytical copies.</x:v>
      </x:c>
      <x:c r="I2" s="46" t="str">
        <x:v>Data Owner</x:v>
      </x:c>
    </x:row>
    <x:row r="3">
      <x:c r="A3" s="70" t="str">
        <x:v>Website-event analysis</x:v>
      </x:c>
      <x:c r="B3" s="46" t="str">
        <x:v>Event type, device, session duration and potential identifiers</x:v>
      </x:c>
      <x:c r="C3" s="46" t="str">
        <x:v>Understand digital behaviour and conversion patterns</x:v>
      </x:c>
      <x:c r="D3" s="46" t="str">
        <x:v>Use only events needed for defined metrics; avoid collecting unnecessary identifiers.</x:v>
      </x:c>
      <x:c r="E3" s="46" t="str">
        <x:v>Behavioural monitoring, re-identification and opaque tracking.</x:v>
      </x:c>
      <x:c r="F3" s="46" t="str">
        <x:v>Simulated dataset, limited fields, 12-month illustrative retention.</x:v>
      </x:c>
      <x:c r="G3" s="46" t="str">
        <x:v>Medium</x:v>
      </x:c>
      <x:c r="H3" s="46" t="str">
        <x:v>Document transparency, consent or other authorised basis; minimise fields and linkage.</x:v>
      </x:c>
      <x:c r="I3" s="46" t="str">
        <x:v>Privacy Officer</x:v>
      </x:c>
    </x:row>
    <x:row r="4">
      <x:c r="A4" s="70" t="str">
        <x:v>Profit model development</x:v>
      </x:c>
      <x:c r="B4" s="46" t="str">
        <x:v>Sales, quantity, discount, category, segment, region and profit</x:v>
      </x:c>
      <x:c r="C4" s="46" t="str">
        <x:v>Evaluate a simple profit prediction model</x:v>
      </x:c>
      <x:c r="D4" s="46" t="str">
        <x:v>Predictors are limited to operational variables; model should not create individual profiles.</x:v>
      </x:c>
      <x:c r="E4" s="46" t="str">
        <x:v>Inaccurate outputs, hidden bias, unexpected secondary use.</x:v>
      </x:c>
      <x:c r="F4" s="46" t="str">
        <x:v>Model metrics, limitations, human oversight and prohibited sole-decision use.</x:v>
      </x:c>
      <x:c r="G4" s="46" t="str">
        <x:v>Medium</x:v>
      </x:c>
      <x:c r="H4" s="46" t="str">
        <x:v>Complete model-use approval, validation checklist and monitoring plan.</x:v>
      </x:c>
      <x:c r="I4" s="46" t="str">
        <x:v>Model Owner</x:v>
      </x:c>
    </x:row>
    <x:row r="5">
      <x:c r="A5" s="70" t="str">
        <x:v>Dashboard reporting</x:v>
      </x:c>
      <x:c r="B5" s="46" t="str">
        <x:v>Filtered business metrics, plots and model results</x:v>
      </x:c>
      <x:c r="C5" s="46" t="str">
        <x:v>Support authorised management and analyst decisions</x:v>
      </x:c>
      <x:c r="D5" s="46" t="str">
        <x:v>Only minimum fields and aggregates should be displayed by role.</x:v>
      </x:c>
      <x:c r="E5" s="46" t="str">
        <x:v>Sensitive commercial data or personal information exposed through public links or screenshots.</x:v>
      </x:c>
      <x:c r="F5" s="46" t="str">
        <x:v>Limited fields, filters, sanitised evidence.</x:v>
      </x:c>
      <x:c r="G5" s="46" t="str">
        <x:v>Medium</x:v>
      </x:c>
      <x:c r="H5" s="46" t="str">
        <x:v>Add authentication, role-aware views and secure hosting before production.</x:v>
      </x:c>
      <x:c r="I5" s="46" t="str">
        <x:v>Application Owner</x:v>
      </x:c>
    </x:row>
    <x:row r="6">
      <x:c r="A6" s="70" t="str">
        <x:v>NoSQL analytical serving</x:v>
      </x:c>
      <x:c r="B6" s="46" t="str">
        <x:v>Category, region and product summaries</x:v>
      </x:c>
      <x:c r="C6" s="46" t="str">
        <x:v>Provide fast query access to approved analytical outputs</x:v>
      </x:c>
      <x:c r="D6" s="46" t="str">
        <x:v>Only derived summaries are stored; source-level personal data is unnecessary.</x:v>
      </x:c>
      <x:c r="E6" s="46" t="str">
        <x:v>Broad database access, query abuse or credential compromise.</x:v>
      </x:c>
      <x:c r="F6" s="46" t="str">
        <x:v>Separate app identity, TLS, secrets outside code, network rule removed.</x:v>
      </x:c>
      <x:c r="G6" s="46" t="str">
        <x:v>Low / Medium</x:v>
      </x:c>
      <x:c r="H6" s="46" t="str">
        <x:v>Enforce least privilege, logging, restricted network access and query validation.</x:v>
      </x:c>
      <x:c r="I6" s="46" t="str">
        <x:v>Database Administrator</x:v>
      </x:c>
    </x:row>
    <x:row r="7">
      <x:c r="A7" s="70" t="str">
        <x:v>Cloud processing and storage</x:v>
      </x:c>
      <x:c r="B7" s="46" t="str">
        <x:v>Datasets, code, models and evidence in third-party platforms</x:v>
      </x:c>
      <x:c r="C7" s="46" t="str">
        <x:v>Provide scalable prototype tooling</x:v>
      </x:c>
      <x:c r="D7" s="46" t="str">
        <x:v>Cloud use is proportionate for a prototype, but production requires formal vendor and data-location review.</x:v>
      </x:c>
      <x:c r="E7" s="46" t="str">
        <x:v>Third-party access, service outage, data location and contract risk.</x:v>
      </x:c>
      <x:c r="F7" s="46" t="str">
        <x:v>Restricted accounts, encryption services, no live client data.</x:v>
      </x:c>
      <x:c r="G7" s="46" t="str">
        <x:v>Medium</x:v>
      </x:c>
      <x:c r="H7" s="46" t="str">
        <x:v>Perform third-party risk review and define exit/backup requirements.</x:v>
      </x:c>
      <x:c r="I7" s="46" t="str">
        <x:v>Third-Party Risk Owner</x:v>
      </x:c>
    </x:row>
    <x:row r="8">
      <x:c r="A8" s="70" t="str">
        <x:v>Evidence and portfolio publication</x:v>
      </x:c>
      <x:c r="B8" s="46" t="str">
        <x:v>Screenshots, architecture, metrics and selected outputs</x:v>
      </x:c>
      <x:c r="C8" s="46" t="str">
        <x:v>Demonstrate control implementation and professional capability</x:v>
      </x:c>
      <x:c r="D8" s="46" t="str">
        <x:v>Only minimum evidence should be public; personal and secret information is unnecessary.</x:v>
      </x:c>
      <x:c r="E8" s="46" t="str">
        <x:v>Academic identifiers, account details, credentials or temporary URLs become public.</x:v>
      </x:c>
      <x:c r="F8" s="46" t="str">
        <x:v>Evidence inventory, exclusion list and sanitisation plan.</x:v>
      </x:c>
      <x:c r="G8" s="46" t="str">
        <x:v>Low</x:v>
      </x:c>
      <x:c r="H8" s="46" t="str">
        <x:v>Complete Phase 3 recapture/cropping and final secret scan before publication.</x:v>
      </x:c>
      <x:c r="I8" s="46" t="str">
        <x:v>Portfolio Owner</x:v>
      </x:c>
    </x:row>
    <x:row r="9">
      <x:c r="A9" s="56"/>
    </x:row>
    <x:row r="10">
      <x:c r="A10" s="56"/>
    </x:row>
    <x:row r="11">
      <x:c r="A11" s="56"/>
    </x:row>
    <x:row r="12">
      <x:c r="A12" s="56"/>
    </x:row>
    <x:row r="13">
      <x:c r="A13" s="56"/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pageMargins left="0.7" right="0.7" top="0.75" bottom="0.75" header="0.3" footer="0.3"/>
  <x:tableParts count="1">
    <x:tablePart xmlns:r="http://schemas.openxmlformats.org/officeDocument/2006/relationships" r:id="R98b1cc150d15409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6" t="str">
        <x:v>Governance Activity</x:v>
      </x:c>
      <x:c r="B1" s="6" t="str">
        <x:v>Data Owner</x:v>
      </x:c>
      <x:c r="C1" s="6" t="str">
        <x:v>Data Engineer</x:v>
      </x:c>
      <x:c r="D1" s="6" t="str">
        <x:v>Data Analyst</x:v>
      </x:c>
      <x:c r="E1" s="6" t="str">
        <x:v>DBA / Platform Admin</x:v>
      </x:c>
      <x:c r="F1" s="6" t="str">
        <x:v>GRC / Security</x:v>
      </x:c>
      <x:c r="G1" s="6" t="str">
        <x:v>Privacy Officer</x:v>
      </x:c>
      <x:c r="H1" s="6" t="str">
        <x:v>Model Owner</x:v>
      </x:c>
      <x:c r="I1" s="6" t="str">
        <x:v>Business Manager</x:v>
      </x:c>
      <x:c r="J1" s="6" t="str">
        <x:v>Internal Auditor</x:v>
      </x:c>
    </x:row>
    <x:row r="2">
      <x:c r="A2" s="70" t="str">
        <x:v>Approve data sources and business purpose</x:v>
      </x:c>
      <x:c r="B2" s="46" t="str">
        <x:v>A</x:v>
      </x:c>
      <x:c r="C2" s="46" t="str">
        <x:v>R</x:v>
      </x:c>
      <x:c r="D2" s="46" t="str">
        <x:v>C</x:v>
      </x:c>
      <x:c r="E2" s="46" t="str">
        <x:v>C</x:v>
      </x:c>
      <x:c r="F2" s="46" t="str">
        <x:v>C</x:v>
      </x:c>
      <x:c r="G2" s="46" t="str">
        <x:v>C</x:v>
      </x:c>
      <x:c r="H2" s="46" t="str">
        <x:v>C</x:v>
      </x:c>
      <x:c r="I2" s="46" t="str">
        <x:v>I</x:v>
      </x:c>
      <x:c r="J2" s="46" t="str">
        <x:v>I</x:v>
      </x:c>
    </x:row>
    <x:row r="3">
      <x:c r="A3" s="70" t="str">
        <x:v>Classify data assets</x:v>
      </x:c>
      <x:c r="B3" s="46" t="str">
        <x:v>A</x:v>
      </x:c>
      <x:c r="C3" s="46" t="str">
        <x:v>C</x:v>
      </x:c>
      <x:c r="D3" s="46" t="str">
        <x:v>C</x:v>
      </x:c>
      <x:c r="E3" s="46" t="str">
        <x:v>I</x:v>
      </x:c>
      <x:c r="F3" s="46" t="str">
        <x:v>R</x:v>
      </x:c>
      <x:c r="G3" s="46" t="str">
        <x:v>C</x:v>
      </x:c>
      <x:c r="H3" s="46" t="str">
        <x:v>I</x:v>
      </x:c>
      <x:c r="I3" s="46" t="str">
        <x:v>I</x:v>
      </x:c>
      <x:c r="J3" s="46" t="str">
        <x:v>I</x:v>
      </x:c>
    </x:row>
    <x:row r="4">
      <x:c r="A4" s="70" t="str">
        <x:v>Configure ingestion and quality validation</x:v>
      </x:c>
      <x:c r="B4" s="46" t="str">
        <x:v>C</x:v>
      </x:c>
      <x:c r="C4" s="46" t="str">
        <x:v>A/R</x:v>
      </x:c>
      <x:c r="D4" s="46" t="str">
        <x:v>C</x:v>
      </x:c>
      <x:c r="E4" s="46" t="str">
        <x:v>I</x:v>
      </x:c>
      <x:c r="F4" s="46" t="str">
        <x:v>C</x:v>
      </x:c>
      <x:c r="G4" s="46" t="str">
        <x:v>I</x:v>
      </x:c>
      <x:c r="H4" s="46" t="str">
        <x:v>I</x:v>
      </x:c>
      <x:c r="I4" s="46" t="str">
        <x:v>I</x:v>
      </x:c>
      <x:c r="J4" s="46" t="str">
        <x:v>I</x:v>
      </x:c>
    </x:row>
    <x:row r="5">
      <x:c r="A5" s="70" t="str">
        <x:v>Approve access and perform access reviews</x:v>
      </x:c>
      <x:c r="B5" s="46" t="str">
        <x:v>A</x:v>
      </x:c>
      <x:c r="C5" s="46" t="str">
        <x:v>C</x:v>
      </x:c>
      <x:c r="D5" s="46" t="str">
        <x:v>I</x:v>
      </x:c>
      <x:c r="E5" s="46" t="str">
        <x:v>R</x:v>
      </x:c>
      <x:c r="F5" s="46" t="str">
        <x:v>R</x:v>
      </x:c>
      <x:c r="G5" s="46" t="str">
        <x:v>C</x:v>
      </x:c>
      <x:c r="H5" s="46" t="str">
        <x:v>I</x:v>
      </x:c>
      <x:c r="I5" s="46" t="str">
        <x:v>I</x:v>
      </x:c>
      <x:c r="J5" s="46" t="str">
        <x:v>I</x:v>
      </x:c>
    </x:row>
    <x:row r="6">
      <x:c r="A6" s="70" t="str">
        <x:v>Administer database and secrets</x:v>
      </x:c>
      <x:c r="B6" s="46" t="str">
        <x:v>I</x:v>
      </x:c>
      <x:c r="C6" s="46" t="str">
        <x:v>C</x:v>
      </x:c>
      <x:c r="D6" s="46" t="str">
        <x:v>I</x:v>
      </x:c>
      <x:c r="E6" s="46" t="str">
        <x:v>A/R</x:v>
      </x:c>
      <x:c r="F6" s="46" t="str">
        <x:v>C</x:v>
      </x:c>
      <x:c r="G6" s="46" t="str">
        <x:v>I</x:v>
      </x:c>
      <x:c r="H6" s="46" t="str">
        <x:v>I</x:v>
      </x:c>
      <x:c r="I6" s="46" t="str">
        <x:v>I</x:v>
      </x:c>
      <x:c r="J6" s="46" t="str">
        <x:v>I</x:v>
      </x:c>
    </x:row>
    <x:row r="7">
      <x:c r="A7" s="70" t="str">
        <x:v>Assess data-security risks and controls</x:v>
      </x:c>
      <x:c r="B7" s="46" t="str">
        <x:v>C</x:v>
      </x:c>
      <x:c r="C7" s="46" t="str">
        <x:v>C</x:v>
      </x:c>
      <x:c r="D7" s="46" t="str">
        <x:v>C</x:v>
      </x:c>
      <x:c r="E7" s="46" t="str">
        <x:v>C</x:v>
      </x:c>
      <x:c r="F7" s="46" t="str">
        <x:v>A/R</x:v>
      </x:c>
      <x:c r="G7" s="46" t="str">
        <x:v>C</x:v>
      </x:c>
      <x:c r="H7" s="46" t="str">
        <x:v>C</x:v>
      </x:c>
      <x:c r="I7" s="46" t="str">
        <x:v>I</x:v>
      </x:c>
      <x:c r="J7" s="46" t="str">
        <x:v>I</x:v>
      </x:c>
    </x:row>
    <x:row r="8">
      <x:c r="A8" s="70" t="str">
        <x:v>Approve retention and disposal</x:v>
      </x:c>
      <x:c r="B8" s="46" t="str">
        <x:v>A</x:v>
      </x:c>
      <x:c r="C8" s="46" t="str">
        <x:v>C</x:v>
      </x:c>
      <x:c r="D8" s="46" t="str">
        <x:v>I</x:v>
      </x:c>
      <x:c r="E8" s="46" t="str">
        <x:v>C</x:v>
      </x:c>
      <x:c r="F8" s="46" t="str">
        <x:v>R</x:v>
      </x:c>
      <x:c r="G8" s="46" t="str">
        <x:v>C</x:v>
      </x:c>
      <x:c r="H8" s="46" t="str">
        <x:v>I</x:v>
      </x:c>
      <x:c r="I8" s="46" t="str">
        <x:v>I</x:v>
      </x:c>
      <x:c r="J8" s="46" t="str">
        <x:v>I</x:v>
      </x:c>
    </x:row>
    <x:row r="9">
      <x:c r="A9" s="70" t="str">
        <x:v>Review privacy and high-risk processing</x:v>
      </x:c>
      <x:c r="B9" s="46" t="str">
        <x:v>C</x:v>
      </x:c>
      <x:c r="C9" s="46" t="str">
        <x:v>C</x:v>
      </x:c>
      <x:c r="D9" s="46" t="str">
        <x:v>I</x:v>
      </x:c>
      <x:c r="E9" s="46" t="str">
        <x:v>I</x:v>
      </x:c>
      <x:c r="F9" s="46" t="str">
        <x:v>C</x:v>
      </x:c>
      <x:c r="G9" s="46" t="str">
        <x:v>A/R</x:v>
      </x:c>
      <x:c r="H9" s="46" t="str">
        <x:v>C</x:v>
      </x:c>
      <x:c r="I9" s="46" t="str">
        <x:v>I</x:v>
      </x:c>
      <x:c r="J9" s="46" t="str">
        <x:v>I</x:v>
      </x:c>
    </x:row>
    <x:row r="10">
      <x:c r="A10" s="70" t="str">
        <x:v>Validate model and approve use</x:v>
      </x:c>
      <x:c r="B10" s="46" t="str">
        <x:v>C</x:v>
      </x:c>
      <x:c r="C10" s="46" t="str">
        <x:v>C</x:v>
      </x:c>
      <x:c r="D10" s="46" t="str">
        <x:v>C</x:v>
      </x:c>
      <x:c r="E10" s="46" t="str">
        <x:v>I</x:v>
      </x:c>
      <x:c r="F10" s="46" t="str">
        <x:v>C</x:v>
      </x:c>
      <x:c r="G10" s="46" t="str">
        <x:v>C</x:v>
      </x:c>
      <x:c r="H10" s="46" t="str">
        <x:v>A/R</x:v>
      </x:c>
      <x:c r="I10" s="46" t="str">
        <x:v>A</x:v>
      </x:c>
      <x:c r="J10" s="46" t="str">
        <x:v>I</x:v>
      </x:c>
    </x:row>
    <x:row r="11">
      <x:c r="A11" s="70" t="str">
        <x:v>Publish dashboards and applications</x:v>
      </x:c>
      <x:c r="B11" s="46" t="str">
        <x:v>A</x:v>
      </x:c>
      <x:c r="C11" s="46" t="str">
        <x:v>C</x:v>
      </x:c>
      <x:c r="D11" s="46" t="str">
        <x:v>R</x:v>
      </x:c>
      <x:c r="E11" s="46" t="str">
        <x:v>C</x:v>
      </x:c>
      <x:c r="F11" s="46" t="str">
        <x:v>C</x:v>
      </x:c>
      <x:c r="G11" s="46" t="str">
        <x:v>C</x:v>
      </x:c>
      <x:c r="H11" s="46" t="str">
        <x:v>C</x:v>
      </x:c>
      <x:c r="I11" s="46" t="str">
        <x:v>R</x:v>
      </x:c>
      <x:c r="J11" s="46" t="str">
        <x:v>I</x:v>
      </x:c>
    </x:row>
    <x:row r="12">
      <x:c r="A12" s="70" t="str">
        <x:v>Monitor security events and investigate incidents</x:v>
      </x:c>
      <x:c r="B12" s="46" t="str">
        <x:v>I</x:v>
      </x:c>
      <x:c r="C12" s="46" t="str">
        <x:v>C</x:v>
      </x:c>
      <x:c r="D12" s="46" t="str">
        <x:v>I</x:v>
      </x:c>
      <x:c r="E12" s="46" t="str">
        <x:v>R</x:v>
      </x:c>
      <x:c r="F12" s="46" t="str">
        <x:v>A/R</x:v>
      </x:c>
      <x:c r="G12" s="46" t="str">
        <x:v>C</x:v>
      </x:c>
      <x:c r="H12" s="46" t="str">
        <x:v>I</x:v>
      </x:c>
      <x:c r="I12" s="46" t="str">
        <x:v>I</x:v>
      </x:c>
      <x:c r="J12" s="46" t="str">
        <x:v>I</x:v>
      </x:c>
    </x:row>
    <x:row r="13">
      <x:c r="A13" s="70" t="str">
        <x:v>Conduct independent assurance</x:v>
      </x:c>
      <x:c r="B13" s="46" t="str">
        <x:v>I</x:v>
      </x:c>
      <x:c r="C13" s="46" t="str">
        <x:v>I</x:v>
      </x:c>
      <x:c r="D13" s="46" t="str">
        <x:v>I</x:v>
      </x:c>
      <x:c r="E13" s="46" t="str">
        <x:v>I</x:v>
      </x:c>
      <x:c r="F13" s="46" t="str">
        <x:v>C</x:v>
      </x:c>
      <x:c r="G13" s="46" t="str">
        <x:v>I</x:v>
      </x:c>
      <x:c r="H13" s="46" t="str">
        <x:v>I</x:v>
      </x:c>
      <x:c r="I13" s="46" t="str">
        <x:v>I</x:v>
      </x:c>
      <x:c r="J13" s="46" t="str">
        <x:v>A/R</x:v>
      </x:c>
    </x:row>
    <x:row r="14">
      <x:c r="A14" s="56"/>
    </x:row>
    <x:row r="15">
      <x:c r="A15" s="56"/>
    </x:row>
    <x:row r="16">
      <x:c r="A16" s="56"/>
    </x:row>
    <x:row r="17">
      <x:c r="A17" s="56"/>
    </x:row>
    <x:row r="18">
      <x:c r="A18" s="56"/>
    </x:row>
    <x:row r="19">
      <x:c r="A19" s="56"/>
    </x:row>
    <x:row r="20">
      <x:c r="A20" s="56"/>
    </x:row>
    <x:row r="21">
      <x:c r="A21" s="56"/>
    </x:row>
    <x:row r="22">
      <x:c r="A22" s="56"/>
    </x:row>
    <x:row r="23">
      <x:c r="A23" s="56"/>
    </x:row>
    <x:row r="24">
      <x:c r="A24" s="56"/>
    </x:row>
    <x:row r="25">
      <x:c r="A25" s="56"/>
    </x:row>
    <x:row r="26">
      <x:c r="A26" s="56"/>
    </x:row>
    <x:row r="27">
      <x:c r="A27" s="56"/>
    </x:row>
    <x:row r="28">
      <x:c r="A28" s="56"/>
    </x:row>
    <x:row r="29">
      <x:c r="A29" s="56"/>
    </x:row>
    <x:row r="30">
      <x:c r="A30" s="56"/>
    </x:row>
    <x:row r="31">
      <x:c r="A31" s="56"/>
    </x:row>
    <x:row r="32">
      <x:c r="A32" s="56"/>
    </x:row>
    <x:row r="33">
      <x:c r="A33" s="56"/>
    </x:row>
    <x:row r="34">
      <x:c r="A34" s="56"/>
    </x:row>
    <x:row r="35">
      <x:c r="A35" s="56"/>
    </x:row>
    <x:row r="36">
      <x:c r="A36" s="56"/>
    </x:row>
    <x:row r="37">
      <x:c r="A37" s="56"/>
    </x:row>
    <x:row r="38">
      <x:c r="A38" s="56"/>
    </x:row>
    <x:row r="39">
      <x:c r="A39" s="56"/>
    </x:row>
    <x:row r="40">
      <x:c r="A40" s="56"/>
    </x:row>
    <x:row r="41">
      <x:c r="A41" s="56"/>
    </x:row>
    <x:row r="42">
      <x:c r="A42" s="56"/>
    </x:row>
    <x:row r="43">
      <x:c r="A43" s="56"/>
    </x:row>
    <x:row r="44">
      <x:c r="A44" s="56"/>
    </x:row>
    <x:row r="45">
      <x:c r="A45" s="56"/>
    </x:row>
    <x:row r="46">
      <x:c r="A46" s="56"/>
    </x:row>
    <x:row r="47">
      <x:c r="A47" s="56"/>
    </x:row>
    <x:row r="48">
      <x:c r="A48" s="56"/>
    </x:row>
    <x:row r="49">
      <x:c r="A49" s="56"/>
    </x:row>
    <x:row r="50">
      <x:c r="A50" s="56"/>
    </x:row>
    <x:row r="51">
      <x:c r="A51" s="56"/>
    </x:row>
    <x:row r="52">
      <x:c r="A52" s="56"/>
    </x:row>
    <x:row r="53">
      <x:c r="A53" s="56"/>
    </x:row>
    <x:row r="54">
      <x:c r="A54" s="56"/>
    </x:row>
    <x:row r="55">
      <x:c r="A55" s="56"/>
    </x:row>
    <x:row r="56">
      <x:c r="A56" s="56"/>
    </x:row>
    <x:row r="57">
      <x:c r="A57" s="56"/>
    </x:row>
    <x:row r="58">
      <x:c r="A58" s="56"/>
    </x:row>
    <x:row r="59">
      <x:c r="A59" s="56"/>
    </x:row>
    <x:row r="60">
      <x:c r="A60" s="56"/>
    </x:row>
    <x:row r="61">
      <x:c r="A61" s="56"/>
    </x:row>
    <x:row r="62">
      <x:c r="A62" s="56"/>
    </x:row>
    <x:row r="63">
      <x:c r="A63" s="56"/>
    </x:row>
    <x:row r="64">
      <x:c r="A64" s="56"/>
    </x:row>
    <x:row r="65">
      <x:c r="A65" s="56"/>
    </x:row>
    <x:row r="66">
      <x:c r="A66" s="56"/>
    </x:row>
    <x:row r="67">
      <x:c r="A67" s="56"/>
    </x:row>
    <x:row r="68">
      <x:c r="A68" s="56"/>
    </x:row>
    <x:row r="69">
      <x:c r="A69" s="56"/>
    </x:row>
    <x:row r="70">
      <x:c r="A70" s="56"/>
    </x:row>
    <x:row r="71">
      <x:c r="A71" s="56"/>
    </x:row>
    <x:row r="72">
      <x:c r="A72" s="56"/>
    </x:row>
    <x:row r="73">
      <x:c r="A73" s="56"/>
    </x:row>
    <x:row r="74">
      <x:c r="A74" s="56"/>
    </x:row>
    <x:row r="75">
      <x:c r="A75" s="56"/>
    </x:row>
    <x:row r="76">
      <x:c r="A76" s="56"/>
    </x:row>
    <x:row r="77">
      <x:c r="A77" s="56"/>
    </x:row>
    <x:row r="78">
      <x:c r="A78" s="56"/>
    </x:row>
    <x:row r="79">
      <x:c r="A79" s="56"/>
    </x:row>
    <x:row r="80">
      <x:c r="A80" s="56"/>
    </x:row>
    <x:row r="81">
      <x:c r="A81" s="56"/>
    </x:row>
    <x:row r="82">
      <x:c r="A82" s="56"/>
    </x:row>
    <x:row r="83">
      <x:c r="A83" s="56"/>
    </x:row>
    <x:row r="84">
      <x:c r="A84" s="56"/>
    </x:row>
    <x:row r="85">
      <x:c r="A85" s="56"/>
    </x:row>
    <x:row r="86">
      <x:c r="A86" s="56"/>
    </x:row>
    <x:row r="87">
      <x:c r="A87" s="56"/>
    </x:row>
    <x:row r="88">
      <x:c r="A88" s="56"/>
    </x:row>
    <x:row r="89">
      <x:c r="A89" s="56"/>
    </x:row>
    <x:row r="90">
      <x:c r="A90" s="56"/>
    </x:row>
    <x:row r="91">
      <x:c r="A91" s="56"/>
    </x:row>
    <x:row r="92">
      <x:c r="A92" s="56"/>
    </x:row>
    <x:row r="93">
      <x:c r="A93" s="56"/>
    </x:row>
    <x:row r="94">
      <x:c r="A94" s="56"/>
    </x:row>
    <x:row r="95">
      <x:c r="A95" s="56"/>
    </x:row>
    <x:row r="96">
      <x:c r="A96" s="56"/>
    </x:row>
    <x:row r="97">
      <x:c r="A97" s="56"/>
    </x:row>
    <x:row r="98">
      <x:c r="A98" s="56"/>
    </x:row>
    <x:row r="99">
      <x:c r="A99" s="56"/>
    </x:row>
    <x:row r="100">
      <x:c r="A100" s="56"/>
    </x:row>
    <x:row r="101">
      <x:c r="A101" s="56"/>
    </x:row>
    <x:row r="102">
      <x:c r="A102" s="56"/>
    </x:row>
    <x:row r="103">
      <x:c r="A103" s="56"/>
    </x:row>
    <x:row r="104">
      <x:c r="A104" s="56"/>
    </x:row>
    <x:row r="105">
      <x:c r="A105" s="56"/>
    </x:row>
    <x:row r="106">
      <x:c r="A106" s="56"/>
    </x:row>
    <x:row r="107">
      <x:c r="A107" s="56"/>
    </x:row>
    <x:row r="108">
      <x:c r="A108" s="56"/>
    </x:row>
    <x:row r="109">
      <x:c r="A109" s="56"/>
    </x:row>
    <x:row r="110">
      <x:c r="A110" s="56"/>
    </x:row>
    <x:row r="111">
      <x:c r="A111" s="56"/>
    </x:row>
    <x:row r="112">
      <x:c r="A112" s="56"/>
    </x:row>
    <x:row r="113">
      <x:c r="A113" s="56"/>
    </x:row>
    <x:row r="114">
      <x:c r="A114" s="56"/>
    </x:row>
    <x:row r="115">
      <x:c r="A115" s="56"/>
    </x:row>
    <x:row r="116">
      <x:c r="A116" s="56"/>
    </x:row>
    <x:row r="117">
      <x:c r="A117" s="56"/>
    </x:row>
    <x:row r="118">
      <x:c r="A118" s="56"/>
    </x:row>
    <x:row r="119">
      <x:c r="A119" s="56"/>
    </x:row>
    <x:row r="120">
      <x:c r="A120" s="56"/>
    </x:row>
    <x:row r="121">
      <x:c r="A121" s="56"/>
    </x:row>
    <x:row r="122">
      <x:c r="A122" s="56"/>
    </x:row>
    <x:row r="123">
      <x:c r="A123" s="56"/>
    </x:row>
    <x:row r="124">
      <x:c r="A124" s="56"/>
    </x:row>
    <x:row r="125">
      <x:c r="A125" s="56"/>
    </x:row>
    <x:row r="126">
      <x:c r="A126" s="56"/>
    </x:row>
    <x:row r="127">
      <x:c r="A127" s="56"/>
    </x:row>
    <x:row r="128">
      <x:c r="A128" s="56"/>
    </x:row>
    <x:row r="129">
      <x:c r="A129" s="56"/>
    </x:row>
    <x:row r="130">
      <x:c r="A130" s="56"/>
    </x:row>
    <x:row r="131">
      <x:c r="A131" s="56"/>
    </x:row>
    <x:row r="132">
      <x:c r="A132" s="56"/>
    </x:row>
    <x:row r="133">
      <x:c r="A133" s="56"/>
    </x:row>
    <x:row r="134">
      <x:c r="A134" s="56"/>
    </x:row>
    <x:row r="135">
      <x:c r="A135" s="56"/>
    </x:row>
    <x:row r="136">
      <x:c r="A136" s="56"/>
    </x:row>
    <x:row r="137">
      <x:c r="A137" s="56"/>
    </x:row>
    <x:row r="138">
      <x:c r="A138" s="56"/>
    </x:row>
    <x:row r="139">
      <x:c r="A139" s="56"/>
    </x:row>
    <x:row r="140">
      <x:c r="A140" s="56"/>
    </x:row>
    <x:row r="141">
      <x:c r="A141" s="56"/>
    </x:row>
    <x:row r="142">
      <x:c r="A142" s="56"/>
    </x:row>
    <x:row r="143">
      <x:c r="A143" s="56"/>
    </x:row>
    <x:row r="144">
      <x:c r="A144" s="56"/>
    </x:row>
    <x:row r="145">
      <x:c r="A145" s="56"/>
    </x:row>
    <x:row r="146">
      <x:c r="A146" s="56"/>
    </x:row>
    <x:row r="147">
      <x:c r="A147" s="56"/>
    </x:row>
    <x:row r="148">
      <x:c r="A148" s="56"/>
    </x:row>
    <x:row r="149">
      <x:c r="A149" s="56"/>
    </x:row>
    <x:row r="150">
      <x:c r="A150" s="56"/>
    </x:row>
    <x:row r="151">
      <x:c r="A151" s="56"/>
    </x:row>
    <x:row r="152">
      <x:c r="A152" s="56"/>
    </x:row>
    <x:row r="153">
      <x:c r="A153" s="56"/>
    </x:row>
    <x:row r="154">
      <x:c r="A154" s="56"/>
    </x:row>
    <x:row r="155">
      <x:c r="A155" s="56"/>
    </x:row>
    <x:row r="156">
      <x:c r="A156" s="56"/>
    </x:row>
    <x:row r="157">
      <x:c r="A157" s="56"/>
    </x:row>
    <x:row r="158">
      <x:c r="A158" s="56"/>
    </x:row>
    <x:row r="159">
      <x:c r="A159" s="56"/>
    </x:row>
    <x:row r="160">
      <x:c r="A160" s="56"/>
    </x:row>
    <x:row r="161">
      <x:c r="A161" s="56"/>
    </x:row>
    <x:row r="162">
      <x:c r="A162" s="56"/>
    </x:row>
    <x:row r="163">
      <x:c r="A163" s="56"/>
    </x:row>
    <x:row r="164">
      <x:c r="A164" s="56"/>
    </x:row>
    <x:row r="165">
      <x:c r="A165" s="56"/>
    </x:row>
    <x:row r="166">
      <x:c r="A166" s="56"/>
    </x:row>
    <x:row r="167">
      <x:c r="A167" s="56"/>
    </x:row>
    <x:row r="168">
      <x:c r="A168" s="56"/>
    </x:row>
    <x:row r="169">
      <x:c r="A169" s="56"/>
    </x:row>
    <x:row r="170">
      <x:c r="A170" s="56"/>
    </x:row>
    <x:row r="171">
      <x:c r="A171" s="56"/>
    </x:row>
    <x:row r="172">
      <x:c r="A172" s="56"/>
    </x:row>
    <x:row r="173">
      <x:c r="A173" s="56"/>
    </x:row>
    <x:row r="174">
      <x:c r="A174" s="56"/>
    </x:row>
    <x:row r="175">
      <x:c r="A175" s="56"/>
    </x:row>
    <x:row r="176">
      <x:c r="A176" s="56"/>
    </x:row>
    <x:row r="177">
      <x:c r="A177" s="56"/>
    </x:row>
    <x:row r="178">
      <x:c r="A178" s="56"/>
    </x:row>
    <x:row r="179">
      <x:c r="A179" s="56"/>
    </x:row>
    <x:row r="180">
      <x:c r="A180" s="56"/>
    </x:row>
    <x:row r="181">
      <x:c r="A181" s="56"/>
    </x:row>
    <x:row r="182">
      <x:c r="A182" s="56"/>
    </x:row>
    <x:row r="183">
      <x:c r="A183" s="56"/>
    </x:row>
    <x:row r="184">
      <x:c r="A184" s="56"/>
    </x:row>
    <x:row r="185">
      <x:c r="A185" s="56"/>
    </x:row>
    <x:row r="186">
      <x:c r="A186" s="56"/>
    </x:row>
    <x:row r="187">
      <x:c r="A187" s="56"/>
    </x:row>
    <x:row r="188">
      <x:c r="A188" s="56"/>
    </x:row>
    <x:row r="189">
      <x:c r="A189" s="56"/>
    </x:row>
    <x:row r="190">
      <x:c r="A190" s="56"/>
    </x:row>
    <x:row r="191">
      <x:c r="A191" s="56"/>
    </x:row>
    <x:row r="192">
      <x:c r="A192" s="56"/>
    </x:row>
    <x:row r="193">
      <x:c r="A193" s="56"/>
    </x:row>
    <x:row r="194">
      <x:c r="A194" s="56"/>
    </x:row>
    <x:row r="195">
      <x:c r="A195" s="56"/>
    </x:row>
    <x:row r="196">
      <x:c r="A196" s="56"/>
    </x:row>
    <x:row r="197">
      <x:c r="A197" s="56"/>
    </x:row>
    <x:row r="198">
      <x:c r="A198" s="56"/>
    </x:row>
    <x:row r="199">
      <x:c r="A199" s="56"/>
    </x:row>
    <x:row r="200">
      <x:c r="A200" s="56"/>
    </x:row>
  </x:sheetData>
  <x:conditionalFormatting sqref="B2:B50">
    <x:cfRule type="expression" dxfId="11" priority="1">
      <x:formula>B2="A/R"</x:formula>
    </x:cfRule>
    <x:cfRule type="expression" dxfId="12" priority="2">
      <x:formula>B2="A"</x:formula>
    </x:cfRule>
    <x:cfRule type="expression" dxfId="13" priority="3">
      <x:formula>B2="R"</x:formula>
    </x:cfRule>
  </x:conditionalFormatting>
  <x:conditionalFormatting sqref="C2:C50">
    <x:cfRule type="expression" dxfId="14" priority="4">
      <x:formula>C2="A/R"</x:formula>
    </x:cfRule>
    <x:cfRule type="expression" dxfId="15" priority="5">
      <x:formula>C2="A"</x:formula>
    </x:cfRule>
    <x:cfRule type="expression" dxfId="16" priority="6">
      <x:formula>C2="R"</x:formula>
    </x:cfRule>
  </x:conditionalFormatting>
  <x:conditionalFormatting sqref="D2:D50">
    <x:cfRule type="expression" dxfId="17" priority="7">
      <x:formula>D2="A/R"</x:formula>
    </x:cfRule>
    <x:cfRule type="expression" dxfId="18" priority="8">
      <x:formula>D2="A"</x:formula>
    </x:cfRule>
    <x:cfRule type="expression" dxfId="19" priority="9">
      <x:formula>D2="R"</x:formula>
    </x:cfRule>
  </x:conditionalFormatting>
  <x:conditionalFormatting sqref="E2:E50">
    <x:cfRule type="expression" dxfId="20" priority="10">
      <x:formula>E2="A/R"</x:formula>
    </x:cfRule>
    <x:cfRule type="expression" dxfId="21" priority="11">
      <x:formula>E2="A"</x:formula>
    </x:cfRule>
    <x:cfRule type="expression" dxfId="22" priority="12">
      <x:formula>E2="R"</x:formula>
    </x:cfRule>
  </x:conditionalFormatting>
  <x:conditionalFormatting sqref="F2:F50">
    <x:cfRule type="expression" dxfId="23" priority="13">
      <x:formula>F2="A/R"</x:formula>
    </x:cfRule>
    <x:cfRule type="expression" dxfId="24" priority="14">
      <x:formula>F2="A"</x:formula>
    </x:cfRule>
    <x:cfRule type="expression" dxfId="25" priority="15">
      <x:formula>F2="R"</x:formula>
    </x:cfRule>
  </x:conditionalFormatting>
  <x:conditionalFormatting sqref="G2:G50">
    <x:cfRule type="expression" dxfId="26" priority="16">
      <x:formula>G2="A/R"</x:formula>
    </x:cfRule>
    <x:cfRule type="expression" dxfId="27" priority="17">
      <x:formula>G2="A"</x:formula>
    </x:cfRule>
    <x:cfRule type="expression" dxfId="28" priority="18">
      <x:formula>G2="R"</x:formula>
    </x:cfRule>
  </x:conditionalFormatting>
  <x:conditionalFormatting sqref="H2:H50">
    <x:cfRule type="expression" dxfId="29" priority="19">
      <x:formula>H2="A/R"</x:formula>
    </x:cfRule>
    <x:cfRule type="expression" dxfId="30" priority="20">
      <x:formula>H2="A"</x:formula>
    </x:cfRule>
    <x:cfRule type="expression" dxfId="31" priority="21">
      <x:formula>H2="R"</x:formula>
    </x:cfRule>
  </x:conditionalFormatting>
  <x:conditionalFormatting sqref="I2:I50">
    <x:cfRule type="expression" dxfId="32" priority="22">
      <x:formula>I2="A/R"</x:formula>
    </x:cfRule>
    <x:cfRule type="expression" dxfId="33" priority="23">
      <x:formula>I2="A"</x:formula>
    </x:cfRule>
    <x:cfRule type="expression" dxfId="34" priority="24">
      <x:formula>I2="R"</x:formula>
    </x:cfRule>
  </x:conditionalFormatting>
  <x:conditionalFormatting sqref="J2:J50">
    <x:cfRule type="expression" dxfId="35" priority="25">
      <x:formula>J2="A/R"</x:formula>
    </x:cfRule>
    <x:cfRule type="expression" dxfId="36" priority="26">
      <x:formula>J2="A"</x:formula>
    </x:cfRule>
    <x:cfRule type="expression" dxfId="37" priority="27">
      <x:formula>J2="R"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4d47e920de4bd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35" hidden="0" customWidth="1"/>
    <x:col min="4" max="4" width="34" hidden="0" customWidth="1"/>
    <x:col min="5" max="5" width="23" hidden="0" customWidth="1"/>
    <x:col min="6" max="6" width="52" hidden="0" customWidth="1"/>
    <x:col min="7" max="7" width="24" hidden="0" customWidth="1"/>
    <x:col min="8" max="8" width="17" hidden="0" customWidth="1"/>
    <x:col min="9" max="9" width="42" hidden="0" customWidth="1"/>
    <x:col min="10" max="10" width="23" hidden="0" customWidth="1"/>
  </x:cols>
  <x:sheetData>
    <x:row r="1">
      <x:c r="A1" s="85" t="str">
        <x:v>Mapping ID</x:v>
      </x:c>
      <x:c r="B1" s="85" t="str">
        <x:v>Control ID</x:v>
      </x:c>
      <x:c r="C1" s="85" t="str">
        <x:v>Control Objective</x:v>
      </x:c>
      <x:c r="D1" s="85" t="str">
        <x:v>Evidence ID / Artefact</x:v>
      </x:c>
      <x:c r="E1" s="85" t="str">
        <x:v>Evidence Type</x:v>
      </x:c>
      <x:c r="F1" s="85" t="str">
        <x:v>What the Evidence Demonstrates</x:v>
      </x:c>
      <x:c r="G1" s="85" t="str">
        <x:v>Implementation Conclusion</x:v>
      </x:c>
      <x:c r="H1" s="85" t="str">
        <x:v>Evidence Strength</x:v>
      </x:c>
      <x:c r="I1" s="85" t="str">
        <x:v>Residual Gap</x:v>
      </x:c>
      <x:c r="J1" s="85" t="str">
        <x:v>Public Portfolio Status</x:v>
      </x:c>
    </x:row>
    <x:row r="2">
      <x:c r="A2" s="46" t="str">
        <x:v>M-001</x:v>
      </x:c>
      <x:c r="B2" s="46" t="str">
        <x:v>DSG-01</x:v>
      </x:c>
      <x:c r="C2" s="46" t="str">
        <x:v>Approve and register data sources</x:v>
      </x:c>
      <x:c r="D2" s="46" t="str">
        <x:v>Project Charter; Data Inventory; EV-01</x:v>
      </x:c>
      <x:c r="E2" s="46" t="str">
        <x:v>Governance + Technical</x:v>
      </x:c>
      <x:c r="F2" s="46" t="str">
        <x:v>Documents source purpose, ownership and validation before analytics.</x:v>
      </x:c>
      <x:c r="G2" s="46" t="str">
        <x:v>Partially implemented</x:v>
      </x:c>
      <x:c r="H2" s="46" t="str">
        <x:v>Medium</x:v>
      </x:c>
      <x:c r="I2" s="46" t="str">
        <x:v>Formal production source-approval workflow and checksums are recommended.</x:v>
      </x:c>
      <x:c r="J2" s="46" t="str">
        <x:v>Approved</x:v>
      </x:c>
    </x:row>
    <x:row r="3">
      <x:c r="A3" s="46" t="str">
        <x:v>M-002</x:v>
      </x:c>
      <x:c r="B3" s="46" t="str">
        <x:v>DSG-02</x:v>
      </x:c>
      <x:c r="C3" s="46" t="str">
        <x:v>Validate schema and data types</x:v>
      </x:c>
      <x:c r="D3" s="46" t="str">
        <x:v>EV-01</x:v>
      </x:c>
      <x:c r="E3" s="46" t="str">
        <x:v>Technical</x:v>
      </x:c>
      <x:c r="F3" s="46" t="str">
        <x:v>Null validation after corrected parsing and type conversion across six critical fields.</x:v>
      </x:c>
      <x:c r="G3" s="46" t="str">
        <x:v>Implemented</x:v>
      </x:c>
      <x:c r="H3" s="46" t="str">
        <x:v>Strong</x:v>
      </x:c>
      <x:c r="I3" s="46" t="str">
        <x:v>Automate validation and rejected-record handling in production.</x:v>
      </x:c>
      <x:c r="J3" s="46" t="str">
        <x:v>Approved</x:v>
      </x:c>
    </x:row>
    <x:row r="4">
      <x:c r="A4" s="46" t="str">
        <x:v>M-003</x:v>
      </x:c>
      <x:c r="B4" s="46" t="str">
        <x:v>DSG-03</x:v>
      </x:c>
      <x:c r="C4" s="46" t="str">
        <x:v>Reconcile record counts</x:v>
      </x:c>
      <x:c r="D4" s="46" t="str">
        <x:v>Ingestion verification evidence; original report logs</x:v>
      </x:c>
      <x:c r="E4" s="46" t="str">
        <x:v>Technical</x:v>
      </x:c>
      <x:c r="F4" s="46" t="str">
        <x:v>Source and stored counts matched after Parquet write and retrieval.</x:v>
      </x:c>
      <x:c r="G4" s="46" t="str">
        <x:v>Implemented</x:v>
      </x:c>
      <x:c r="H4" s="46" t="str">
        <x:v>Strong</x:v>
      </x:c>
      <x:c r="I4" s="46" t="str">
        <x:v>Schedule reconciliation for each production batch.</x:v>
      </x:c>
      <x:c r="J4" s="46" t="str">
        <x:v>Approved</x:v>
      </x:c>
    </x:row>
    <x:row r="5">
      <x:c r="A5" s="46" t="str">
        <x:v>M-004</x:v>
      </x:c>
      <x:c r="B5" s="46" t="str">
        <x:v>DSG-04</x:v>
      </x:c>
      <x:c r="C5" s="46" t="str">
        <x:v>Classify and label data assets</x:v>
      </x:c>
      <x:c r="D5" s="46" t="str">
        <x:v>Data Inventory sheet</x:v>
      </x:c>
      <x:c r="E5" s="46" t="str">
        <x:v>Governance</x:v>
      </x:c>
      <x:c r="F5" s="46" t="str">
        <x:v>Assigns classification, owner, criticality, purpose, storage and retention to 11 assets.</x:v>
      </x:c>
      <x:c r="G5" s="46" t="str">
        <x:v>Implemented</x:v>
      </x:c>
      <x:c r="H5" s="46" t="str">
        <x:v>Strong</x:v>
      </x:c>
      <x:c r="I5" s="46" t="str">
        <x:v>Obtain formal organisational approval.</x:v>
      </x:c>
      <x:c r="J5" s="46" t="str">
        <x:v>Approved</x:v>
      </x:c>
    </x:row>
    <x:row r="6">
      <x:c r="A6" s="46" t="str">
        <x:v>M-005</x:v>
      </x:c>
      <x:c r="B6" s="46" t="str">
        <x:v>IAM-01</x:v>
      </x:c>
      <x:c r="C6" s="46" t="str">
        <x:v>Apply role-based access</x:v>
      </x:c>
      <x:c r="D6" s="46" t="str">
        <x:v>Access Matrix; RACI</x:v>
      </x:c>
      <x:c r="E6" s="46" t="str">
        <x:v>Governance</x:v>
      </x:c>
      <x:c r="F6" s="46" t="str">
        <x:v>Defines approved access by role and separates approval, administration and use responsibilities.</x:v>
      </x:c>
      <x:c r="G6" s="46" t="str">
        <x:v>Partially implemented</x:v>
      </x:c>
      <x:c r="H6" s="46" t="str">
        <x:v>Medium</x:v>
      </x:c>
      <x:c r="I6" s="46" t="str">
        <x:v>Enforce roles in production platforms and perform access reviews.</x:v>
      </x:c>
      <x:c r="J6" s="46" t="str">
        <x:v>Approved</x:v>
      </x:c>
    </x:row>
    <x:row r="7">
      <x:c r="A7" s="46" t="str">
        <x:v>M-006</x:v>
      </x:c>
      <x:c r="B7" s="46" t="str">
        <x:v>IAM-02</x:v>
      </x:c>
      <x:c r="C7" s="46" t="str">
        <x:v>Least privilege for service identities</x:v>
      </x:c>
      <x:c r="D7" s="46" t="str">
        <x:v>EV-10; EV-11; Access Matrix</x:v>
      </x:c>
      <x:c r="E7" s="46" t="str">
        <x:v>Technical + Governance</x:v>
      </x:c>
      <x:c r="F7" s="46" t="str">
        <x:v>Uses a separate application database identity and controlled analytical queries.</x:v>
      </x:c>
      <x:c r="G7" s="46" t="str">
        <x:v>Partially implemented</x:v>
      </x:c>
      <x:c r="H7" s="46" t="str">
        <x:v>Medium</x:v>
      </x:c>
      <x:c r="I7" s="46" t="str">
        <x:v>Document and test exact MongoDB privileges.</x:v>
      </x:c>
      <x:c r="J7" s="46" t="str">
        <x:v>Approved</x:v>
      </x:c>
    </x:row>
    <x:row r="8">
      <x:c r="A8" s="46" t="str">
        <x:v>M-007</x:v>
      </x:c>
      <x:c r="B8" s="46" t="str">
        <x:v>SEC-01</x:v>
      </x:c>
      <x:c r="C8" s="46" t="str">
        <x:v>Protect credentials outside code</x:v>
      </x:c>
      <x:c r="D8" s="46" t="str">
        <x:v>Sanitisation Plan; evidence exclusion record</x:v>
      </x:c>
      <x:c r="E8" s="46" t="str">
        <x:v>Governance + Attestation</x:v>
      </x:c>
      <x:c r="F8" s="46" t="str">
        <x:v>Secrets were stored separately and credential-exposing screenshots were excluded.</x:v>
      </x:c>
      <x:c r="G8" s="46" t="str">
        <x:v>Implemented</x:v>
      </x:c>
      <x:c r="H8" s="46" t="str">
        <x:v>Medium</x:v>
      </x:c>
      <x:c r="I8" s="46" t="str">
        <x:v>Run automated repository secret scanning before publication.</x:v>
      </x:c>
      <x:c r="J8" s="46" t="str">
        <x:v>Approved</x:v>
      </x:c>
    </x:row>
    <x:row r="9">
      <x:c r="A9" s="46" t="str">
        <x:v>M-008</x:v>
      </x:c>
      <x:c r="B9" s="46" t="str">
        <x:v>SEC-02</x:v>
      </x:c>
      <x:c r="C9" s="46" t="str">
        <x:v>Encrypt data in transit</x:v>
      </x:c>
      <x:c r="D9" s="46" t="str">
        <x:v>MongoDB TLS configuration documented in implementation evidence</x:v>
      </x:c>
      <x:c r="E9" s="46" t="str">
        <x:v>Technical + Configuration</x:v>
      </x:c>
      <x:c r="F9" s="46" t="str">
        <x:v>Database connections used TLS.</x:v>
      </x:c>
      <x:c r="G9" s="46" t="str">
        <x:v>Implemented</x:v>
      </x:c>
      <x:c r="H9" s="46" t="str">
        <x:v>Medium</x:v>
      </x:c>
      <x:c r="I9" s="46" t="str">
        <x:v>Retain production certificate and configuration evidence.</x:v>
      </x:c>
      <x:c r="J9" s="46" t="str">
        <x:v>Approved with narrative</x:v>
      </x:c>
    </x:row>
    <x:row r="10">
      <x:c r="A10" s="46" t="str">
        <x:v>M-009</x:v>
      </x:c>
      <x:c r="B10" s="46" t="str">
        <x:v>SEC-03</x:v>
      </x:c>
      <x:c r="C10" s="46" t="str">
        <x:v>Encrypt sensitive data at rest</x:v>
      </x:c>
      <x:c r="D10" s="46" t="str">
        <x:v>Architecture and control catalogue</x:v>
      </x:c>
      <x:c r="E10" s="46" t="str">
        <x:v>Design</x:v>
      </x:c>
      <x:c r="F10" s="46" t="str">
        <x:v>Requires encryption for object storage, databases and backups.</x:v>
      </x:c>
      <x:c r="G10" s="46" t="str">
        <x:v>Recommended</x:v>
      </x:c>
      <x:c r="H10" s="46" t="str">
        <x:v>Weak</x:v>
      </x:c>
      <x:c r="I10" s="46" t="str">
        <x:v>Production settings were not independently tested.</x:v>
      </x:c>
      <x:c r="J10" s="46" t="str">
        <x:v>Narrative only</x:v>
      </x:c>
    </x:row>
    <x:row r="11">
      <x:c r="A11" s="46" t="str">
        <x:v>M-010</x:v>
      </x:c>
      <x:c r="B11" s="46" t="str">
        <x:v>NET-01</x:v>
      </x:c>
      <x:c r="C11" s="46" t="str">
        <x:v>Restrict database network exposure</x:v>
      </x:c>
      <x:c r="D11" s="46" t="str">
        <x:v>Risk Register R-005; Treatment A-001</x:v>
      </x:c>
      <x:c r="E11" s="46" t="str">
        <x:v>Governance + Attestation</x:v>
      </x:c>
      <x:c r="F11" s="46" t="str">
        <x:v>Temporary broad network access was identified, treated and removed after the prototype.</x:v>
      </x:c>
      <x:c r="G11" s="46" t="str">
        <x:v>Partially implemented</x:v>
      </x:c>
      <x:c r="H11" s="46" t="str">
        <x:v>Medium</x:v>
      </x:c>
      <x:c r="I11" s="46" t="str">
        <x:v>Use private endpoints or controlled hosts in production.</x:v>
      </x:c>
      <x:c r="J11" s="46" t="str">
        <x:v>Approved with disclosure</x:v>
      </x:c>
    </x:row>
    <x:row r="12">
      <x:c r="A12" s="46" t="str">
        <x:v>M-011</x:v>
      </x:c>
      <x:c r="B12" s="46" t="str">
        <x:v>LOG-01</x:v>
      </x:c>
      <x:c r="C12" s="46" t="str">
        <x:v>Log access and administrative activity</x:v>
      </x:c>
      <x:c r="D12" s="46" t="str">
        <x:v>Execution evidence; Control Catalogue</x:v>
      </x:c>
      <x:c r="E12" s="46" t="str">
        <x:v>Technical + Design</x:v>
      </x:c>
      <x:c r="F12" s="46" t="str">
        <x:v>Execution logs exist, but centralised security monitoring is not implemented.</x:v>
      </x:c>
      <x:c r="G12" s="46" t="str">
        <x:v>Recommended</x:v>
      </x:c>
      <x:c r="H12" s="46" t="str">
        <x:v>Weak</x:v>
      </x:c>
      <x:c r="I12" s="46" t="str">
        <x:v>Central logging, retention and alerting are required.</x:v>
      </x:c>
      <x:c r="J12" s="46" t="str">
        <x:v>Narrative only</x:v>
      </x:c>
    </x:row>
    <x:row r="13">
      <x:c r="A13" s="46" t="str">
        <x:v>M-012</x:v>
      </x:c>
      <x:c r="B13" s="46" t="str">
        <x:v>APP-01</x:v>
      </x:c>
      <x:c r="C13" s="46" t="str">
        <x:v>Minimise and filter displayed data</x:v>
      </x:c>
      <x:c r="D13" s="46" t="str">
        <x:v>EV-07; EV-09; EV-12</x:v>
      </x:c>
      <x:c r="E13" s="46" t="str">
        <x:v>Technical</x:v>
      </x:c>
      <x:c r="F13" s="46" t="str">
        <x:v>Dashboards and query interface display selected metrics and respond to controlled filters.</x:v>
      </x:c>
      <x:c r="G13" s="46" t="str">
        <x:v>Partially implemented</x:v>
      </x:c>
      <x:c r="H13" s="46" t="str">
        <x:v>Strong</x:v>
      </x:c>
      <x:c r="I13" s="46" t="str">
        <x:v>Authentication and role-aware field filtering are required for production.</x:v>
      </x:c>
      <x:c r="J13" s="46" t="str">
        <x:v>Approved</x:v>
      </x:c>
    </x:row>
    <x:row r="14">
      <x:c r="A14" s="46" t="str">
        <x:v>M-013</x:v>
      </x:c>
      <x:c r="B14" s="46" t="str">
        <x:v>APP-02</x:v>
      </x:c>
      <x:c r="C14" s="46" t="str">
        <x:v>Validate user input and queries</x:v>
      </x:c>
      <x:c r="D14" s="46" t="str">
        <x:v>EV-12</x:v>
      </x:c>
      <x:c r="E14" s="46" t="str">
        <x:v>Technical</x:v>
      </x:c>
      <x:c r="F14" s="46" t="str">
        <x:v>The interface restricts record type to predefined choices and minimum sales to a numeric input.</x:v>
      </x:c>
      <x:c r="G14" s="46" t="str">
        <x:v>Partially implemented</x:v>
      </x:c>
      <x:c r="H14" s="46" t="str">
        <x:v>Medium</x:v>
      </x:c>
      <x:c r="I14" s="46" t="str">
        <x:v>Add production-side validation, rate limiting and negative testing.</x:v>
      </x:c>
      <x:c r="J14" s="46" t="str">
        <x:v>Approved</x:v>
      </x:c>
    </x:row>
    <x:row r="15">
      <x:c r="A15" s="46" t="str">
        <x:v>M-014</x:v>
      </x:c>
      <x:c r="B15" s="46" t="str">
        <x:v>PRV-01</x:v>
      </x:c>
      <x:c r="C15" s="46" t="str">
        <x:v>Data minimisation and purpose limitation</x:v>
      </x:c>
      <x:c r="D15" s="46" t="str">
        <x:v>Privacy Assessment; Data Inventory</x:v>
      </x:c>
      <x:c r="E15" s="46" t="str">
        <x:v>Governance</x:v>
      </x:c>
      <x:c r="F15" s="46" t="str">
        <x:v>Defines purpose, necessity, privacy risks, minimisation and required actions.</x:v>
      </x:c>
      <x:c r="G15" s="46" t="str">
        <x:v>Partially implemented</x:v>
      </x:c>
      <x:c r="H15" s="46" t="str">
        <x:v>Strong</x:v>
      </x:c>
      <x:c r="I15" s="46" t="str">
        <x:v>Legal basis, transparency and data-subject processes need organisational approval.</x:v>
      </x:c>
      <x:c r="J15" s="46" t="str">
        <x:v>Approved</x:v>
      </x:c>
    </x:row>
    <x:row r="16">
      <x:c r="A16" s="46" t="str">
        <x:v>M-015</x:v>
      </x:c>
      <x:c r="B16" s="46" t="str">
        <x:v>RET-01</x:v>
      </x:c>
      <x:c r="C16" s="46" t="str">
        <x:v>Retention and secure disposal</x:v>
      </x:c>
      <x:c r="D16" s="46" t="str">
        <x:v>Retention Schedule</x:v>
      </x:c>
      <x:c r="E16" s="46" t="str">
        <x:v>Governance</x:v>
      </x:c>
      <x:c r="F16" s="46" t="str">
        <x:v>Defines illustrative periods, triggers, disposal methods, owners and exceptions.</x:v>
      </x:c>
      <x:c r="G16" s="46" t="str">
        <x:v>Partially implemented</x:v>
      </x:c>
      <x:c r="H16" s="46" t="str">
        <x:v>Strong</x:v>
      </x:c>
      <x:c r="I16" s="46" t="str">
        <x:v>Retention periods require legal approval and automated execution.</x:v>
      </x:c>
      <x:c r="J16" s="46" t="str">
        <x:v>Approved</x:v>
      </x:c>
    </x:row>
    <x:row r="17">
      <x:c r="A17" s="46" t="str">
        <x:v>M-016</x:v>
      </x:c>
      <x:c r="B17" s="46" t="str">
        <x:v>MLG-01</x:v>
      </x:c>
      <x:c r="C17" s="46" t="str">
        <x:v>Validate model performance and limitations</x:v>
      </x:c>
      <x:c r="D17" s="46" t="str">
        <x:v>EV-08; Model Risk Governance</x:v>
      </x:c>
      <x:c r="E17" s="46" t="str">
        <x:v>Technical + Governance</x:v>
      </x:c>
      <x:c r="F17" s="46" t="str">
        <x:v>Reports MAE, RMSE and R-squared and records model limitations and permitted use.</x:v>
      </x:c>
      <x:c r="G17" s="46" t="str">
        <x:v>Implemented</x:v>
      </x:c>
      <x:c r="H17" s="46" t="str">
        <x:v>Strong</x:v>
      </x:c>
      <x:c r="I17" s="46" t="str">
        <x:v>Independent validation and drift monitoring are needed before production.</x:v>
      </x:c>
      <x:c r="J17" s="46" t="str">
        <x:v>Approved</x:v>
      </x:c>
    </x:row>
    <x:row r="18">
      <x:c r="A18" s="46" t="str">
        <x:v>M-017</x:v>
      </x:c>
      <x:c r="B18" s="46" t="str">
        <x:v>MLG-02</x:v>
      </x:c>
      <x:c r="C18" s="46" t="str">
        <x:v>Require human oversight</x:v>
      </x:c>
      <x:c r="D18" s="46" t="str">
        <x:v>Model Risk Governance; Case Study</x:v>
      </x:c>
      <x:c r="E18" s="46" t="str">
        <x:v>Governance</x:v>
      </x:c>
      <x:c r="F18" s="46" t="str">
        <x:v>Prohibits sole automated pricing or discount decisions and assigns decision accountability.</x:v>
      </x:c>
      <x:c r="G18" s="46" t="str">
        <x:v>Implemented</x:v>
      </x:c>
      <x:c r="H18" s="46" t="str">
        <x:v>Strong</x:v>
      </x:c>
      <x:c r="I18" s="46" t="str">
        <x:v>Embed acknowledgement and review steps in production workflow.</x:v>
      </x:c>
      <x:c r="J18" s="46" t="str">
        <x:v>Approved</x:v>
      </x:c>
    </x:row>
    <x:row r="19">
      <x:c r="A19" s="46" t="str">
        <x:v>M-018</x:v>
      </x:c>
      <x:c r="B19" s="46" t="str">
        <x:v>BCM-01</x:v>
      </x:c>
      <x:c r="C19" s="46" t="str">
        <x:v>Maintain recoverable data and configurations</x:v>
      </x:c>
      <x:c r="D19" s="46" t="str">
        <x:v>EV-06; Parquet outputs; Drive backup evidence</x:v>
      </x:c>
      <x:c r="E19" s="46" t="str">
        <x:v>Design + Technical</x:v>
      </x:c>
      <x:c r="F19" s="46" t="str">
        <x:v>Architecture includes backup and replication and the prototype retained outputs and code.</x:v>
      </x:c>
      <x:c r="G19" s="46" t="str">
        <x:v>Recommended</x:v>
      </x:c>
      <x:c r="H19" s="46" t="str">
        <x:v>Medium</x:v>
      </x:c>
      <x:c r="I19" s="46" t="str">
        <x:v>Define and test RTO, RPO and restoration procedures.</x:v>
      </x:c>
      <x:c r="J19" s="46" t="str">
        <x:v>Approved with narrative</x:v>
      </x:c>
    </x:row>
    <x:row r="20">
      <x:c r="A20" s="46" t="str">
        <x:v>M-019</x:v>
      </x:c>
      <x:c r="B20" s="46" t="str">
        <x:v>IR-01</x:v>
      </x:c>
      <x:c r="C20" s="46" t="str">
        <x:v>Prepare for data-security incidents</x:v>
      </x:c>
      <x:c r="D20" s="46" t="str">
        <x:v>Management Recommendations; Control Catalogue</x:v>
      </x:c>
      <x:c r="E20" s="46" t="str">
        <x:v>Governance Design</x:v>
      </x:c>
      <x:c r="F20" s="46" t="str">
        <x:v>Defines incident-response requirements and escalation recommendations.</x:v>
      </x:c>
      <x:c r="G20" s="46" t="str">
        <x:v>Recommended</x:v>
      </x:c>
      <x:c r="H20" s="46" t="str">
        <x:v>Weak</x:v>
      </x:c>
      <x:c r="I20" s="46" t="str">
        <x:v>No tabletop or production response test was performed.</x:v>
      </x:c>
      <x:c r="J20" s="46" t="str">
        <x:v>Narrative only</x:v>
      </x:c>
    </x:row>
    <x:row r="21">
      <x:c r="A21" s="46" t="str">
        <x:v>M-020</x:v>
      </x:c>
      <x:c r="B21" s="46" t="str">
        <x:v>TPRM-01</x:v>
      </x:c>
      <x:c r="C21" s="46" t="str">
        <x:v>Assess cloud and platform providers</x:v>
      </x:c>
      <x:c r="D21" s="46" t="str">
        <x:v>EV-06; Privacy Assessment</x:v>
      </x:c>
      <x:c r="E21" s="46" t="str">
        <x:v>Governance Design</x:v>
      </x:c>
      <x:c r="F21" s="46" t="str">
        <x:v>Identifies cloud platforms and third-party risks across processing and storage.</x:v>
      </x:c>
      <x:c r="G21" s="46" t="str">
        <x:v>Recommended</x:v>
      </x:c>
      <x:c r="H21" s="46" t="str">
        <x:v>Medium</x:v>
      </x:c>
      <x:c r="I21" s="46" t="str">
        <x:v>Complete vendor, contract, data-location and exit assessments.</x:v>
      </x:c>
      <x:c r="J21" s="46" t="str">
        <x:v>Approved with narrative</x:v>
      </x:c>
    </x:row>
  </x:sheetData>
  <x:conditionalFormatting sqref="H2:H100">
    <x:cfRule type="expression" dxfId="38" priority="1">
      <x:formula>H2="Strong"</x:formula>
    </x:cfRule>
    <x:cfRule type="expression" dxfId="39" priority="2">
      <x:formula>H2="Weak"</x:formula>
    </x:cfRule>
  </x:conditionalFormatting>
  <x:dataValidations count="2">
    <x:dataValidation type="list" sqref="H2:H100">
      <x:formula1>"Strong,Medium,Weak"</x:formula1>
    </x:dataValidation>
    <x:dataValidation type="list" sqref="J2:J100">
      <x:formula1>"Approved,Approved with narrative,Approved with disclosure,Narrative only,Exclude"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8aadfe103e4e0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24" hidden="0" customWidth="1"/>
    <x:col min="5" max="5" width="20" hidden="0" customWidth="1"/>
    <x:col min="6" max="6" width="50" hidden="0" customWidth="1"/>
    <x:col min="7" max="7" width="48" hidden="0" customWidth="1"/>
    <x:col min="8" max="8" width="16" hidden="0" customWidth="1"/>
  </x:cols>
  <x:sheetData>
    <x:row r="1">
      <x:c r="A1" s="85" t="str">
        <x:v>Evidence ID</x:v>
      </x:c>
      <x:c r="B1" s="85" t="str">
        <x:v>Title</x:v>
      </x:c>
      <x:c r="C1" s="85" t="str">
        <x:v>Sanitised Filename</x:v>
      </x:c>
      <x:c r="D1" s="85" t="str">
        <x:v>Control Links</x:v>
      </x:c>
      <x:c r="E1" s="85" t="str">
        <x:v>Risk Links</x:v>
      </x:c>
      <x:c r="F1" s="85" t="str">
        <x:v>Evidence Result</x:v>
      </x:c>
      <x:c r="G1" s="85" t="str">
        <x:v>Sanitisation Applied</x:v>
      </x:c>
      <x:c r="H1" s="85" t="str">
        <x:v>Public Status</x:v>
      </x:c>
    </x:row>
    <x:row r="2">
      <x:c r="A2" s="46" t="str">
        <x:v>EV-01</x:v>
      </x:c>
      <x:c r="B2" s="46" t="str">
        <x:v>Data Quality Validation</x:v>
      </x:c>
      <x:c r="C2" s="46" t="str">
        <x:v>EV-01_data-quality-validation.png</x:v>
      </x:c>
      <x:c r="D2" s="46" t="str">
        <x:v>DSG-02</x:v>
      </x:c>
      <x:c r="E2" s="46" t="str">
        <x:v>R-001, R-002</x:v>
      </x:c>
      <x:c r="F2" s="46" t="str">
        <x:v>Zero nulls in six converted fields after corrected parsing.</x:v>
      </x:c>
      <x:c r="G2" s="46" t="str">
        <x:v>Browser/account and academic header cropped; output unchanged.</x:v>
      </x:c>
      <x:c r="H2" s="46" t="str">
        <x:v>Approved</x:v>
      </x:c>
    </x:row>
    <x:row r="3">
      <x:c r="A3" s="46" t="str">
        <x:v>EV-02</x:v>
      </x:c>
      <x:c r="B3" s="46" t="str">
        <x:v>Data Profiling and Outlier Awareness</x:v>
      </x:c>
      <x:c r="C3" s="46" t="str">
        <x:v>EV-02_data-profiling.png</x:v>
      </x:c>
      <x:c r="D3" s="46" t="str">
        <x:v>DSG-02, PRV-01</x:v>
      </x:c>
      <x:c r="E3" s="46" t="str">
        <x:v>R-001, R-008</x:v>
      </x:c>
      <x:c r="F3" s="46" t="str">
        <x:v>9,994 records profiled; large value ranges and loss outliers identified.</x:v>
      </x:c>
      <x:c r="G3" s="46" t="str">
        <x:v>Browser/account and academic header cropped; output unchanged.</x:v>
      </x:c>
      <x:c r="H3" s="46" t="str">
        <x:v>Approved</x:v>
      </x:c>
    </x:row>
    <x:row r="4">
      <x:c r="A4" s="46" t="str">
        <x:v>EV-03</x:v>
      </x:c>
      <x:c r="B4" s="46" t="str">
        <x:v>Loss and Anomaly Detection</x:v>
      </x:c>
      <x:c r="C4" s="46" t="str">
        <x:v>EV-03_loss-anomaly-detection.png</x:v>
      </x:c>
      <x:c r="D4" s="46" t="str">
        <x:v>DSG-02, LOG-01</x:v>
      </x:c>
      <x:c r="E4" s="46" t="str">
        <x:v>R-001, R-008</x:v>
      </x:c>
      <x:c r="F4" s="46" t="str">
        <x:v>1,871 loss-making rows, 18.72% of the dataset; severe losses ranked.</x:v>
      </x:c>
      <x:c r="G4" s="46" t="str">
        <x:v>Browser/account and academic header cropped; output unchanged.</x:v>
      </x:c>
      <x:c r="H4" s="46" t="str">
        <x:v>Approved</x:v>
      </x:c>
    </x:row>
    <x:row r="5">
      <x:c r="A5" s="46" t="str">
        <x:v>EV-04</x:v>
      </x:c>
      <x:c r="B5" s="46" t="str">
        <x:v>Governed Analytical Output</x:v>
      </x:c>
      <x:c r="C5" s="46" t="str">
        <x:v>EV-04_category-performance.png</x:v>
      </x:c>
      <x:c r="D5" s="46" t="str">
        <x:v>DSG-03, APP-01</x:v>
      </x:c>
      <x:c r="E5" s="46" t="str">
        <x:v>R-006</x:v>
      </x:c>
      <x:c r="F5" s="46" t="str">
        <x:v>Category sales, profit, quantity and unique-order results generated and sorted.</x:v>
      </x:c>
      <x:c r="G5" s="46" t="str">
        <x:v>Browser/account and academic header cropped; output unchanged.</x:v>
      </x:c>
      <x:c r="H5" s="46" t="str">
        <x:v>Approved</x:v>
      </x:c>
    </x:row>
    <x:row r="6">
      <x:c r="A6" s="46" t="str">
        <x:v>EV-05</x:v>
      </x:c>
      <x:c r="B6" s="46" t="str">
        <x:v>Spark Processing Performance Test</x:v>
      </x:c>
      <x:c r="C6" s="46" t="str">
        <x:v>EV-05_spark-performance-test.png</x:v>
      </x:c>
      <x:c r="D6" s="46" t="str">
        <x:v>BCM-01</x:v>
      </x:c>
      <x:c r="E6" s="46" t="str">
        <x:v>R-011</x:v>
      </x:c>
      <x:c r="F6" s="46" t="str">
        <x:v>Uncached 0.3358 seconds; cached 0.2074 seconds in a small local prototype.</x:v>
      </x:c>
      <x:c r="G6" s="46" t="str">
        <x:v>Browser/account and academic header cropped; limitation retained.</x:v>
      </x:c>
      <x:c r="H6" s="46" t="str">
        <x:v>Approved</x:v>
      </x:c>
    </x:row>
    <x:row r="7">
      <x:c r="A7" s="46" t="str">
        <x:v>EV-06</x:v>
      </x:c>
      <x:c r="B7" s="46" t="str">
        <x:v>Enterprise Data Security Architecture</x:v>
      </x:c>
      <x:c r="C7" s="46" t="str">
        <x:v>EV-06_enterprise-data-security-architecture.png</x:v>
      </x:c>
      <x:c r="D7" s="46" t="str">
        <x:v>SEC-03, BCM-01, TPRM-01</x:v>
      </x:c>
      <x:c r="E7" s="46" t="str">
        <x:v>R-003, R-010, R-011</x:v>
      </x:c>
      <x:c r="F7" s="46" t="str">
        <x:v>Seven-layer data flow with cross-cutting security and governance.</x:v>
      </x:c>
      <x:c r="G7" s="46" t="str">
        <x:v>External evidence-card caption only.</x:v>
      </x:c>
      <x:c r="H7" s="46" t="str">
        <x:v>Approved</x:v>
      </x:c>
    </x:row>
    <x:row r="8">
      <x:c r="A8" s="46" t="str">
        <x:v>EV-07</x:v>
      </x:c>
      <x:c r="B8" s="46" t="str">
        <x:v>Retail Analytics Dashboard</x:v>
      </x:c>
      <x:c r="C8" s="46" t="str">
        <x:v>EV-07_retail-analytics-dashboard.png</x:v>
      </x:c>
      <x:c r="D8" s="46" t="str">
        <x:v>APP-01</x:v>
      </x:c>
      <x:c r="E8" s="46" t="str">
        <x:v>R-006</x:v>
      </x:c>
      <x:c r="F8" s="46" t="str">
        <x:v>Authorised users can review filtered retail metrics and sales-versus-profit analysis.</x:v>
      </x:c>
      <x:c r="G8" s="46" t="str">
        <x:v>Browser and academic title cropped; dashboard data unchanged.</x:v>
      </x:c>
      <x:c r="H8" s="46" t="str">
        <x:v>Approved</x:v>
      </x:c>
    </x:row>
    <x:row r="9">
      <x:c r="A9" s="46" t="str">
        <x:v>EV-08</x:v>
      </x:c>
      <x:c r="B9" s="46" t="str">
        <x:v>Model Governance Dashboard</x:v>
      </x:c>
      <x:c r="C9" s="46" t="str">
        <x:v>EV-08_model-governance-dashboard.png</x:v>
      </x:c>
      <x:c r="D9" s="46" t="str">
        <x:v>MLG-01, MLG-02</x:v>
      </x:c>
      <x:c r="E9" s="46" t="str">
        <x:v>R-008</x:v>
      </x:c>
      <x:c r="F9" s="46" t="str">
        <x:v>MAE 57.49, RMSE 223.13 and test R-squared 0.427 displayed.</x:v>
      </x:c>
      <x:c r="G9" s="46" t="str">
        <x:v>Browser and academic title cropped; metrics unchanged.</x:v>
      </x:c>
      <x:c r="H9" s="46" t="str">
        <x:v>Approved</x:v>
      </x:c>
    </x:row>
    <x:row r="10">
      <x:c r="A10" s="46" t="str">
        <x:v>EV-09</x:v>
      </x:c>
      <x:c r="B10" s="46" t="str">
        <x:v>Dashboard Filter Validation</x:v>
      </x:c>
      <x:c r="C10" s="46" t="str">
        <x:v>EV-09_dashboard-filter-validation.png</x:v>
      </x:c>
      <x:c r="D10" s="46" t="str">
        <x:v>APP-01</x:v>
      </x:c>
      <x:c r="E10" s="46" t="str">
        <x:v>R-006</x:v>
      </x:c>
      <x:c r="F10" s="46" t="str">
        <x:v>Technology/West filter returned 599 rows and approved summary metrics.</x:v>
      </x:c>
      <x:c r="G10" s="46" t="str">
        <x:v>Browser and academic title cropped; results unchanged.</x:v>
      </x:c>
      <x:c r="H10" s="46" t="str">
        <x:v>Approved</x:v>
      </x:c>
    </x:row>
    <x:row r="11">
      <x:c r="A11" s="46" t="str">
        <x:v>EV-10</x:v>
      </x:c>
      <x:c r="B11" s="46" t="str">
        <x:v>NoSQL Document Insertion</x:v>
      </x:c>
      <x:c r="C11" s="46" t="str">
        <x:v>EV-10_nosql-document-insertion.png</x:v>
      </x:c>
      <x:c r="D11" s="46" t="str">
        <x:v>IAM-02, SEC-01</x:v>
      </x:c>
      <x:c r="E11" s="46" t="str">
        <x:v>R-004, R-007</x:v>
      </x:c>
      <x:c r="F11" s="46" t="str">
        <x:v>Twelve analytical documents inserted and counted successfully.</x:v>
      </x:c>
      <x:c r="G11" s="46" t="str">
        <x:v>Notebook header and academic source string excluded from crop.</x:v>
      </x:c>
      <x:c r="H11" s="46" t="str">
        <x:v>Approved</x:v>
      </x:c>
    </x:row>
    <x:row r="12">
      <x:c r="A12" s="46" t="str">
        <x:v>EV-11</x:v>
      </x:c>
      <x:c r="B12" s="46" t="str">
        <x:v>Filtered NoSQL Query</x:v>
      </x:c>
      <x:c r="C12" s="46" t="str">
        <x:v>EV-11_filtered-nosql-query.png</x:v>
      </x:c>
      <x:c r="D12" s="46" t="str">
        <x:v>IAM-02, APP-02</x:v>
      </x:c>
      <x:c r="E12" s="46" t="str">
        <x:v>R-006, R-007</x:v>
      </x:c>
      <x:c r="F12" s="46" t="str">
        <x:v>Three regions over 500,000 sales returned and counts verified.</x:v>
      </x:c>
      <x:c r="G12" s="46" t="str">
        <x:v>Notebook and browser headers cropped; output unchanged.</x:v>
      </x:c>
      <x:c r="H12" s="46" t="str">
        <x:v>Approved</x:v>
      </x:c>
    </x:row>
    <x:row r="13">
      <x:c r="A13" s="46" t="str">
        <x:v>EV-12</x:v>
      </x:c>
      <x:c r="B13" s="46" t="str">
        <x:v>Data Governance Query Application</x:v>
      </x:c>
      <x:c r="C13" s="46" t="str">
        <x:v>EV-12_query-application-filter-test.png</x:v>
      </x:c>
      <x:c r="D13" s="46" t="str">
        <x:v>APP-01, APP-02</x:v>
      </x:c>
      <x:c r="E13" s="46" t="str">
        <x:v>R-006</x:v>
      </x:c>
      <x:c r="F13" s="46" t="str">
        <x:v>Three filtered MongoDB records returned through the web interface.</x:v>
      </x:c>
      <x:c r="G13" s="46" t="str">
        <x:v>Academic title, notebook header and URL excluded from crop.</x:v>
      </x:c>
      <x:c r="H13" s="46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41c19abbc4e54c8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88" t="str">
        <x:v>Model Risk Governance Record - M-001</x:v>
      </x:c>
      <x:c r="B1" s="88"/>
      <x:c r="C1" s="88"/>
      <x:c r="D1" s="88"/>
      <x:c r="E1" s="88"/>
      <x:c r="F1" s="88"/>
    </x:row>
    <x:row r="2">
      <x:c r="A2" s="88"/>
      <x:c r="B2" s="88"/>
      <x:c r="C2" s="88"/>
      <x:c r="D2" s="88"/>
      <x:c r="E2" s="88"/>
      <x:c r="F2" s="88"/>
    </x:row>
    <x:row r="4">
      <x:c r="A4" s="90" t="str">
        <x:v>Field</x:v>
      </x:c>
      <x:c r="B4" s="90" t="str">
        <x:v>Approved Record</x:v>
      </x:c>
    </x:row>
    <x:row r="5">
      <x:c r="A5" s="76" t="str">
        <x:v>Model Name</x:v>
      </x:c>
      <x:c r="B5" s="46" t="str">
        <x:v>Retail Profit Prediction Prototype</x:v>
      </x:c>
    </x:row>
    <x:row r="6">
      <x:c r="A6" s="76" t="str">
        <x:v>Model Owner</x:v>
      </x:c>
      <x:c r="B6" s="46" t="str">
        <x:v>Model Owner / Analytics Lead</x:v>
      </x:c>
    </x:row>
    <x:row r="7">
      <x:c r="A7" s="76" t="str">
        <x:v>Business Purpose</x:v>
      </x:c>
      <x:c r="B7" s="46" t="str">
        <x:v>Demonstrate controlled prediction of transaction profit and transparent model evaluation.</x:v>
      </x:c>
    </x:row>
    <x:row r="8">
      <x:c r="A8" s="76" t="str">
        <x:v>Target Variable</x:v>
      </x:c>
      <x:c r="B8" s="46" t="str">
        <x:v>Profit</x:v>
      </x:c>
    </x:row>
    <x:row r="9">
      <x:c r="A9" s="76" t="str">
        <x:v>Predictors</x:v>
      </x:c>
      <x:c r="B9" s="46" t="str">
        <x:v>Sales, Quantity, Discount, Category, Segment and Region</x:v>
      </x:c>
    </x:row>
    <x:row r="10">
      <x:c r="A10" s="76" t="str">
        <x:v>Method</x:v>
      </x:c>
      <x:c r="B10" s="46" t="str">
        <x:v>Multiple linear regression</x:v>
      </x:c>
    </x:row>
    <x:row r="11">
      <x:c r="A11" s="76" t="str">
        <x:v>Training / Testing</x:v>
      </x:c>
      <x:c r="B11" s="46" t="str">
        <x:v>7,995 training rows and 1,999 testing rows using an 80:20 split</x:v>
      </x:c>
    </x:row>
    <x:row r="12">
      <x:c r="A12" s="76" t="str">
        <x:v>Performance</x:v>
      </x:c>
      <x:c r="B12" s="46" t="str">
        <x:v>Training R-squared 0.1665; adjusted R-squared 0.1654; test MAE 57.49; test RMSE 223.13; test R-squared 0.4270</x:v>
      </x:c>
    </x:row>
    <x:row r="13">
      <x:c r="A13" s="76" t="str">
        <x:v>Approved Use</x:v>
      </x:c>
      <x:c r="B13" s="46" t="str">
        <x:v>Exploratory decision support, model-governance demonstration and identification of factors associated with profit.</x:v>
      </x:c>
    </x:row>
    <x:row r="14">
      <x:c r="A14" s="76" t="str">
        <x:v>Prohibited Use</x:v>
      </x:c>
      <x:c r="B14" s="46" t="str">
        <x:v>Sole basis for pricing, discounts, employee action, customer eligibility or other automated decisions.</x:v>
      </x:c>
    </x:row>
    <x:row r="15">
      <x:c r="A15" s="76" t="str">
        <x:v>Principal Risks</x:v>
      </x:c>
      <x:c r="B15" s="46" t="str">
        <x:v>Outliers, omitted variables, linear assumptions, unstable performance, misuse, overreliance and unmonitored drift.</x:v>
      </x:c>
    </x:row>
    <x:row r="16">
      <x:c r="A16" s="76" t="str">
        <x:v>Human Oversight</x:v>
      </x:c>
      <x:c r="B16" s="46" t="str">
        <x:v>A business manager remains accountable for interpretation and decisions. Material actions require review of supporting data and context.</x:v>
      </x:c>
    </x:row>
    <x:row r="17">
      <x:c r="A17" s="76" t="str">
        <x:v>Validation Requirements</x:v>
      </x:c>
      <x:c r="B17" s="46" t="str">
        <x:v>Independent review of data lineage, feature suitability, split methodology, metrics, outliers, assumptions and alternative models before production use.</x:v>
      </x:c>
    </x:row>
    <x:row r="18">
      <x:c r="A18" s="76" t="str">
        <x:v>Monitoring Metrics</x:v>
      </x:c>
      <x:c r="B18" s="46" t="str">
        <x:v>MAE, RMSE, R-squared, prediction-error distribution, data drift, feature drift, outlier frequency and decision overrides.</x:v>
      </x:c>
    </x:row>
    <x:row r="19">
      <x:c r="A19" s="76" t="str">
        <x:v>Review Frequency</x:v>
      </x:c>
      <x:c r="B19" s="46" t="str">
        <x:v>Before release, quarterly during use, and when data, purpose, predictors or operating conditions materially change.</x:v>
      </x:c>
    </x:row>
    <x:row r="20">
      <x:c r="A20" s="76" t="str">
        <x:v>Change Triggers</x:v>
      </x:c>
      <x:c r="B20" s="46" t="str">
        <x:v>New data source, new feature, target change, material performance decline, privacy change, business-process change or significant incident.</x:v>
      </x:c>
    </x:row>
    <x:row r="21">
      <x:c r="A21" s="76" t="str">
        <x:v>Retirement Triggers</x:v>
      </x:c>
      <x:c r="B21" s="46" t="str">
        <x:v>Purpose ends, replacement model approved, unacceptable performance, unsupported data source, unresolved control failure or regulatory/business prohibition.</x:v>
      </x:c>
    </x:row>
    <x:row r="22">
      <x:c r="A22" s="76" t="str">
        <x:v>Residual Risk</x:v>
      </x:c>
      <x:c r="B22" s="46" t="str">
        <x:v>Medium. The prototype is acceptable for portfolio demonstration but not approved for production decision automation.</x:v>
      </x:c>
    </x:row>
  </x:sheetData>
  <x:mergeCells>
    <x:mergeCell ref="A1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5" hidden="0" customWidth="1"/>
    <x:col min="4" max="4" width="48" hidden="0" customWidth="1"/>
    <x:col min="5" max="5" width="26" hidden="0" customWidth="1"/>
    <x:col min="6" max="6" width="22" hidden="0" customWidth="1"/>
    <x:col min="7" max="7" width="42" hidden="0" customWidth="1"/>
  </x:cols>
  <x:sheetData>
    <x:row r="1">
      <x:c r="A1" s="85" t="str">
        <x:v>Recommendation ID</x:v>
      </x:c>
      <x:c r="B1" s="85" t="str">
        <x:v>Priority</x:v>
      </x:c>
      <x:c r="C1" s="85" t="str">
        <x:v>Recommendation</x:v>
      </x:c>
      <x:c r="D1" s="85" t="str">
        <x:v>Business Rationale</x:v>
      </x:c>
      <x:c r="E1" s="85" t="str">
        <x:v>Primary Owner</x:v>
      </x:c>
      <x:c r="F1" s="85" t="str">
        <x:v>Target Horizon</x:v>
      </x:c>
      <x:c r="G1" s="85" t="str">
        <x:v>Outcome Measure</x:v>
      </x:c>
    </x:row>
    <x:row r="2">
      <x:c r="A2" s="46" t="str">
        <x:v>REC-01</x:v>
      </x:c>
      <x:c r="B2" s="46" t="str">
        <x:v>Critical</x:v>
      </x:c>
      <x:c r="C2" s="46" t="str">
        <x:v>Replace temporary or public connectivity with restricted network paths, private endpoints, or controlled application hosts.</x:v>
      </x:c>
      <x:c r="D2" s="46" t="str">
        <x:v>Reduces unnecessary exposure of analytical databases and supports accountable access.</x:v>
      </x:c>
      <x:c r="E2" s="46" t="str">
        <x:v>Database Administrator</x:v>
      </x:c>
      <x:c r="F2" s="46" t="str">
        <x:v>Before production</x:v>
      </x:c>
      <x:c r="G2" s="46" t="str">
        <x:v>Only approved hosts or private paths can reach the database.</x:v>
      </x:c>
    </x:row>
    <x:row r="3">
      <x:c r="A3" s="46" t="str">
        <x:v>REC-02</x:v>
      </x:c>
      <x:c r="B3" s="46" t="str">
        <x:v>High</x:v>
      </x:c>
      <x:c r="C3" s="46" t="str">
        <x:v>Formalise least-privilege roles for users and service identities and conduct quarterly access reviews.</x:v>
      </x:c>
      <x:c r="D3" s="46" t="str">
        <x:v>Limits damage from compromised accounts and prevents privilege accumulation.</x:v>
      </x:c>
      <x:c r="E3" s="46" t="str">
        <x:v>Security Officer</x:v>
      </x:c>
      <x:c r="F3" s="46" t="str">
        <x:v>Within 30 days</x:v>
      </x:c>
      <x:c r="G3" s="46" t="str">
        <x:v>Access matches approved matrix and exceptions are time-bound.</x:v>
      </x:c>
    </x:row>
    <x:row r="4">
      <x:c r="A4" s="46" t="str">
        <x:v>REC-03</x:v>
      </x:c>
      <x:c r="B4" s="46" t="str">
        <x:v>High</x:v>
      </x:c>
      <x:c r="C4" s="46" t="str">
        <x:v>Automate source validation, schema checks, rejected-record handling, checksums and count reconciliation.</x:v>
      </x:c>
      <x:c r="D4" s="46" t="str">
        <x:v>Protects integrity and prevents malformed or altered data from influencing decisions.</x:v>
      </x:c>
      <x:c r="E4" s="46" t="str">
        <x:v>Data Engineering Lead</x:v>
      </x:c>
      <x:c r="F4" s="46" t="str">
        <x:v>Within 60 days</x:v>
      </x:c>
      <x:c r="G4" s="46" t="str">
        <x:v>Unapproved or invalid records are rejected and logged.</x:v>
      </x:c>
    </x:row>
    <x:row r="5">
      <x:c r="A5" s="46" t="str">
        <x:v>REC-04</x:v>
      </x:c>
      <x:c r="B5" s="46" t="str">
        <x:v>High</x:v>
      </x:c>
      <x:c r="C5" s="46" t="str">
        <x:v>Implement authenticated, role-aware dashboards with field minimisation and secure export controls.</x:v>
      </x:c>
      <x:c r="D5" s="46" t="str">
        <x:v>Prevents unauthorised disclosure through visualisation and temporary public links.</x:v>
      </x:c>
      <x:c r="E5" s="46" t="str">
        <x:v>Application Owner</x:v>
      </x:c>
      <x:c r="F5" s="46" t="str">
        <x:v>Before production</x:v>
      </x:c>
      <x:c r="G5" s="46" t="str">
        <x:v>Users see only approved views and fields.</x:v>
      </x:c>
    </x:row>
    <x:row r="6">
      <x:c r="A6" s="46" t="str">
        <x:v>REC-05</x:v>
      </x:c>
      <x:c r="B6" s="46" t="str">
        <x:v>High</x:v>
      </x:c>
      <x:c r="C6" s="46" t="str">
        <x:v>Approve a model-use standard requiring independent validation, human oversight and drift monitoring.</x:v>
      </x:c>
      <x:c r="D6" s="46" t="str">
        <x:v>Reduces the risk of overreliance on a modest-performing prototype model.</x:v>
      </x:c>
      <x:c r="E6" s="46" t="str">
        <x:v>Model Owner</x:v>
      </x:c>
      <x:c r="F6" s="46" t="str">
        <x:v>Within 30 days</x:v>
      </x:c>
      <x:c r="G6" s="46" t="str">
        <x:v>Model use, validation and monitoring are documented and reviewed.</x:v>
      </x:c>
    </x:row>
    <x:row r="7">
      <x:c r="A7" s="46" t="str">
        <x:v>REC-06</x:v>
      </x:c>
      <x:c r="B7" s="46" t="str">
        <x:v>High</x:v>
      </x:c>
      <x:c r="C7" s="46" t="str">
        <x:v>Approve and operationalise retention and secure-disposal rules with evidence of deletion.</x:v>
      </x:c>
      <x:c r="D7" s="46" t="str">
        <x:v>Reduces privacy, legal, storage and breach exposure from unnecessary data.</x:v>
      </x:c>
      <x:c r="E7" s="46" t="str">
        <x:v>Data Owner</x:v>
      </x:c>
      <x:c r="F7" s="46" t="str">
        <x:v>Within 60 days</x:v>
      </x:c>
      <x:c r="G7" s="46" t="str">
        <x:v>Expired data is deleted or archived according to approved policy.</x:v>
      </x:c>
    </x:row>
    <x:row r="8">
      <x:c r="A8" s="46" t="str">
        <x:v>REC-07</x:v>
      </x:c>
      <x:c r="B8" s="46" t="str">
        <x:v>Medium</x:v>
      </x:c>
      <x:c r="C8" s="46" t="str">
        <x:v>Centralise security, database and application logs and define alerting for access and configuration events.</x:v>
      </x:c>
      <x:c r="D8" s="46" t="str">
        <x:v>Improves detection, investigation and auditability.</x:v>
      </x:c>
      <x:c r="E8" s="46" t="str">
        <x:v>Security Operations Lead</x:v>
      </x:c>
      <x:c r="F8" s="46" t="str">
        <x:v>Within 90 days</x:v>
      </x:c>
      <x:c r="G8" s="46" t="str">
        <x:v>Critical events are logged, retained and reviewed.</x:v>
      </x:c>
    </x:row>
    <x:row r="9">
      <x:c r="A9" s="46" t="str">
        <x:v>REC-08</x:v>
      </x:c>
      <x:c r="B9" s="46" t="str">
        <x:v>Medium</x:v>
      </x:c>
      <x:c r="C9" s="46" t="str">
        <x:v>Define backup frequency, recovery objectives and tested restoration for data, code and configurations.</x:v>
      </x:c>
      <x:c r="D9" s="46" t="str">
        <x:v>Improves resilience and confidence that analytics can recover from failure.</x:v>
      </x:c>
      <x:c r="E9" s="46" t="str">
        <x:v>Platform Administrator</x:v>
      </x:c>
      <x:c r="F9" s="46" t="str">
        <x:v>Within 90 days</x:v>
      </x:c>
      <x:c r="G9" s="46" t="str">
        <x:v>Recovery tests meet approved RTO and RPO.</x:v>
      </x:c>
    </x:row>
    <x:row r="10">
      <x:c r="A10" s="46" t="str">
        <x:v>REC-09</x:v>
      </x:c>
      <x:c r="B10" s="46" t="str">
        <x:v>Medium</x:v>
      </x:c>
      <x:c r="C10" s="46" t="str">
        <x:v>Perform formal third-party risk reviews for MongoDB Atlas, Google services and analytics platforms.</x:v>
      </x:c>
      <x:c r="D10" s="46" t="str">
        <x:v>Addresses data location, service availability, access, contractual and exit risks.</x:v>
      </x:c>
      <x:c r="E10" s="46" t="str">
        <x:v>Third-Party Risk Owner</x:v>
      </x:c>
      <x:c r="F10" s="46" t="str">
        <x:v>Before production</x:v>
      </x:c>
      <x:c r="G10" s="46" t="str">
        <x:v>Vendor risks and compensating controls are approved.</x:v>
      </x:c>
    </x:row>
    <x:row r="11">
      <x:c r="A11" s="46" t="str">
        <x:v>REC-10</x:v>
      </x:c>
      <x:c r="B11" s="46" t="str">
        <x:v>Medium</x:v>
      </x:c>
      <x:c r="C11" s="46" t="str">
        <x:v>Establish a data-security incident-response playbook and conduct a tabletop exercise.</x:v>
      </x:c>
      <x:c r="D11" s="46" t="str">
        <x:v>Ensures exposure, integrity failures and credential incidents are contained and learned from.</x:v>
      </x:c>
      <x:c r="E11" s="46" t="str">
        <x:v>Security Officer</x:v>
      </x:c>
      <x:c r="F11" s="46" t="str">
        <x:v>Within 90 days</x:v>
      </x:c>
      <x:c r="G11" s="46" t="str">
        <x:v>Exercise actions and gaps are documented and remediated.</x:v>
      </x:c>
    </x:row>
  </x:sheetData>
  <x:conditionalFormatting sqref="B2:B50">
    <x:cfRule type="expression" dxfId="40" priority="1">
      <x:formula>B2="Critical"</x:formula>
    </x:cfRule>
    <x:cfRule type="expression" dxfId="41" priority="2">
      <x:formula>B2="High"</x:formula>
    </x:cfRule>
  </x:conditionalFormatting>
  <x:dataValidations count="1">
    <x:dataValidation type="list" sqref="B2:B5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53b11f1fb24542"/>
  </x:tableParts>
</x:worksheet>
</file>